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 activeTab="2"/>
  </bookViews>
  <sheets>
    <sheet name="Employee_Data" sheetId="1" r:id="rId1"/>
    <sheet name="Analysis" sheetId="3" r:id="rId2"/>
    <sheet name="Sheet1" sheetId="5" r:id="rId3"/>
  </sheets>
  <definedNames>
    <definedName name="_xlnm._FilterDatabase" localSheetId="0" hidden="1">Employee_Data!$A$1:$N$651</definedName>
    <definedName name="Slicer_Department">#N/A</definedName>
    <definedName name="Slicer_Employment_Status">#N/A</definedName>
    <definedName name="Slicer_Overti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<sst xmlns="http://schemas.openxmlformats.org/spreadsheetml/2006/main" count="6559" uniqueCount="1368">
  <si>
    <t>Employee_ID</t>
  </si>
  <si>
    <t>Employee_Name</t>
  </si>
  <si>
    <t>Gender</t>
  </si>
  <si>
    <t>City</t>
  </si>
  <si>
    <t>Department</t>
  </si>
  <si>
    <t>Job_Role</t>
  </si>
  <si>
    <t>Education_Level</t>
  </si>
  <si>
    <t>Employment_Type</t>
  </si>
  <si>
    <t>Hire_Date</t>
  </si>
  <si>
    <t>Exit_Date</t>
  </si>
  <si>
    <t>Employment_Status</t>
  </si>
  <si>
    <t>Monthly_Salary_INR</t>
  </si>
  <si>
    <t>Job_Satisfaction_1to5</t>
  </si>
  <si>
    <t>Overtime</t>
  </si>
  <si>
    <t>E0001</t>
  </si>
  <si>
    <t>Employee 0001</t>
  </si>
  <si>
    <t>Female</t>
  </si>
  <si>
    <t>Mohali</t>
  </si>
  <si>
    <t>IT</t>
  </si>
  <si>
    <t>IT Support</t>
  </si>
  <si>
    <t>Master's</t>
  </si>
  <si>
    <t>Full-time</t>
  </si>
  <si>
    <t>Active</t>
  </si>
  <si>
    <t>No</t>
  </si>
  <si>
    <t>E0002</t>
  </si>
  <si>
    <t>Employee 0002</t>
  </si>
  <si>
    <t>Delhi</t>
  </si>
  <si>
    <t>Finance</t>
  </si>
  <si>
    <t>Finance Executive</t>
  </si>
  <si>
    <t>E0003</t>
  </si>
  <si>
    <t>Employee 0003</t>
  </si>
  <si>
    <t>Male</t>
  </si>
  <si>
    <t>Ludhiana</t>
  </si>
  <si>
    <t>Marketing</t>
  </si>
  <si>
    <t>Marketing Executive</t>
  </si>
  <si>
    <t>High School</t>
  </si>
  <si>
    <t>Resigned</t>
  </si>
  <si>
    <t>E0004</t>
  </si>
  <si>
    <t>Employee 0004</t>
  </si>
  <si>
    <t>Data Analyst</t>
  </si>
  <si>
    <t>Bachelor's</t>
  </si>
  <si>
    <t>E0005</t>
  </si>
  <si>
    <t>Employee 0005</t>
  </si>
  <si>
    <t>Pune</t>
  </si>
  <si>
    <t>Customer Support</t>
  </si>
  <si>
    <t>Quality Analyst</t>
  </si>
  <si>
    <t>Contract</t>
  </si>
  <si>
    <t>E0006</t>
  </si>
  <si>
    <t>Employee 0006</t>
  </si>
  <si>
    <t>Noida</t>
  </si>
  <si>
    <t>E0007</t>
  </si>
  <si>
    <t>Employee 0007</t>
  </si>
  <si>
    <t>HR</t>
  </si>
  <si>
    <t>Recruiter</t>
  </si>
  <si>
    <t>E0008</t>
  </si>
  <si>
    <t>Employee 0008</t>
  </si>
  <si>
    <t>Support Associate</t>
  </si>
  <si>
    <t>Diploma</t>
  </si>
  <si>
    <t>Yes</t>
  </si>
  <si>
    <t>E0009</t>
  </si>
  <si>
    <t>Employee 0009</t>
  </si>
  <si>
    <t>Accountant</t>
  </si>
  <si>
    <t>E0010</t>
  </si>
  <si>
    <t>Employee 0010</t>
  </si>
  <si>
    <t>Sales</t>
  </si>
  <si>
    <t>Sales Executive</t>
  </si>
  <si>
    <t>E0011</t>
  </si>
  <si>
    <t>Employee 0011</t>
  </si>
  <si>
    <t>E0012</t>
  </si>
  <si>
    <t>Employee 0012</t>
  </si>
  <si>
    <t>Operations</t>
  </si>
  <si>
    <t>Team Lead</t>
  </si>
  <si>
    <t>E0013</t>
  </si>
  <si>
    <t>Employee 0013</t>
  </si>
  <si>
    <t>Chandigarh</t>
  </si>
  <si>
    <t>Financial Analyst</t>
  </si>
  <si>
    <t>E0014</t>
  </si>
  <si>
    <t>Employee 0014</t>
  </si>
  <si>
    <t>E0015</t>
  </si>
  <si>
    <t>Employee 0015</t>
  </si>
  <si>
    <t>E0016</t>
  </si>
  <si>
    <t>Employee 0016</t>
  </si>
  <si>
    <t>E0017</t>
  </si>
  <si>
    <t>Employee 0017</t>
  </si>
  <si>
    <t>E0018</t>
  </si>
  <si>
    <t>Employee 0018</t>
  </si>
  <si>
    <t>E0019</t>
  </si>
  <si>
    <t>Employee 0019</t>
  </si>
  <si>
    <t>Bengaluru</t>
  </si>
  <si>
    <t>Software Engineer</t>
  </si>
  <si>
    <t>E0020</t>
  </si>
  <si>
    <t>Employee 0020</t>
  </si>
  <si>
    <t>Account Manager</t>
  </si>
  <si>
    <t>E0021</t>
  </si>
  <si>
    <t>Employee 0021</t>
  </si>
  <si>
    <t>E0022</t>
  </si>
  <si>
    <t>Employee 0022</t>
  </si>
  <si>
    <t>Digital Marketing Specialist</t>
  </si>
  <si>
    <t>E0023</t>
  </si>
  <si>
    <t>Employee 0023</t>
  </si>
  <si>
    <t>E0024</t>
  </si>
  <si>
    <t>Employee 0024</t>
  </si>
  <si>
    <t>Operations Executive</t>
  </si>
  <si>
    <t>E0025</t>
  </si>
  <si>
    <t>Employee 0025</t>
  </si>
  <si>
    <t>Operations Analyst</t>
  </si>
  <si>
    <t>E0026</t>
  </si>
  <si>
    <t>Employee 0026</t>
  </si>
  <si>
    <t>E0027</t>
  </si>
  <si>
    <t>Employee 0027</t>
  </si>
  <si>
    <t>E0028</t>
  </si>
  <si>
    <t>Employee 0028</t>
  </si>
  <si>
    <t>E0029</t>
  </si>
  <si>
    <t>Employee 0029</t>
  </si>
  <si>
    <t>Gurugram</t>
  </si>
  <si>
    <t>E0030</t>
  </si>
  <si>
    <t>Employee 0030</t>
  </si>
  <si>
    <t>E0031</t>
  </si>
  <si>
    <t>Employee 0031</t>
  </si>
  <si>
    <t>Sales Analyst</t>
  </si>
  <si>
    <t>E0032</t>
  </si>
  <si>
    <t>Employee 0032</t>
  </si>
  <si>
    <t>E0033</t>
  </si>
  <si>
    <t>Employee 0033</t>
  </si>
  <si>
    <t>E0034</t>
  </si>
  <si>
    <t>Employee 0034</t>
  </si>
  <si>
    <t>HR Executive</t>
  </si>
  <si>
    <t>E0035</t>
  </si>
  <si>
    <t>Employee 0035</t>
  </si>
  <si>
    <t>E0036</t>
  </si>
  <si>
    <t>Employee 0036</t>
  </si>
  <si>
    <t>E0037</t>
  </si>
  <si>
    <t>Employee 0037</t>
  </si>
  <si>
    <t>Senior Support Associate</t>
  </si>
  <si>
    <t>E0038</t>
  </si>
  <si>
    <t>Employee 0038</t>
  </si>
  <si>
    <t>E0039</t>
  </si>
  <si>
    <t>Employee 0039</t>
  </si>
  <si>
    <t>E0040</t>
  </si>
  <si>
    <t>Employee 0040</t>
  </si>
  <si>
    <t>E0041</t>
  </si>
  <si>
    <t>Employee 0041</t>
  </si>
  <si>
    <t>E0042</t>
  </si>
  <si>
    <t>Employee 0042</t>
  </si>
  <si>
    <t>E0043</t>
  </si>
  <si>
    <t>Employee 0043</t>
  </si>
  <si>
    <t>E0044</t>
  </si>
  <si>
    <t>Employee 0044</t>
  </si>
  <si>
    <t>Marketing Analyst</t>
  </si>
  <si>
    <t>E0045</t>
  </si>
  <si>
    <t>Employee 0045</t>
  </si>
  <si>
    <t>E0046</t>
  </si>
  <si>
    <t>Employee 0046</t>
  </si>
  <si>
    <t>E0047</t>
  </si>
  <si>
    <t>Employee 0047</t>
  </si>
  <si>
    <t>E0048</t>
  </si>
  <si>
    <t>Employee 0048</t>
  </si>
  <si>
    <t>E0049</t>
  </si>
  <si>
    <t>Employee 0049</t>
  </si>
  <si>
    <t>E0050</t>
  </si>
  <si>
    <t>Employee 0050</t>
  </si>
  <si>
    <t>E0051</t>
  </si>
  <si>
    <t>Employee 0051</t>
  </si>
  <si>
    <t>E0052</t>
  </si>
  <si>
    <t>Employee 0052</t>
  </si>
  <si>
    <t>E0053</t>
  </si>
  <si>
    <t>Employee 0053</t>
  </si>
  <si>
    <t>E0054</t>
  </si>
  <si>
    <t>Employee 0054</t>
  </si>
  <si>
    <t>E0055</t>
  </si>
  <si>
    <t>Employee 0055</t>
  </si>
  <si>
    <t>E0056</t>
  </si>
  <si>
    <t>Employee 0056</t>
  </si>
  <si>
    <t>E0057</t>
  </si>
  <si>
    <t>Employee 0057</t>
  </si>
  <si>
    <t>E0058</t>
  </si>
  <si>
    <t>Employee 0058</t>
  </si>
  <si>
    <t>E0059</t>
  </si>
  <si>
    <t>Employee 0059</t>
  </si>
  <si>
    <t>HR Analyst</t>
  </si>
  <si>
    <t>E0060</t>
  </si>
  <si>
    <t>Employee 0060</t>
  </si>
  <si>
    <t>E0061</t>
  </si>
  <si>
    <t>Employee 0061</t>
  </si>
  <si>
    <t>E0062</t>
  </si>
  <si>
    <t>Employee 0062</t>
  </si>
  <si>
    <t>E0063</t>
  </si>
  <si>
    <t>Employee 0063</t>
  </si>
  <si>
    <t>E0064</t>
  </si>
  <si>
    <t>Employee 0064</t>
  </si>
  <si>
    <t>E0065</t>
  </si>
  <si>
    <t>Employee 0065</t>
  </si>
  <si>
    <t>E0066</t>
  </si>
  <si>
    <t>Employee 0066</t>
  </si>
  <si>
    <t>E0067</t>
  </si>
  <si>
    <t>Employee 0067</t>
  </si>
  <si>
    <t>E0068</t>
  </si>
  <si>
    <t>Employee 0068</t>
  </si>
  <si>
    <t>Intern</t>
  </si>
  <si>
    <t>E0069</t>
  </si>
  <si>
    <t>Employee 0069</t>
  </si>
  <si>
    <t>E0070</t>
  </si>
  <si>
    <t>Employee 0070</t>
  </si>
  <si>
    <t>E0071</t>
  </si>
  <si>
    <t>Employee 0071</t>
  </si>
  <si>
    <t>E0072</t>
  </si>
  <si>
    <t>Employee 0072</t>
  </si>
  <si>
    <t>E0073</t>
  </si>
  <si>
    <t>Employee 0073</t>
  </si>
  <si>
    <t>E0074</t>
  </si>
  <si>
    <t>Employee 0074</t>
  </si>
  <si>
    <t>E0075</t>
  </si>
  <si>
    <t>Employee 0075</t>
  </si>
  <si>
    <t>E0076</t>
  </si>
  <si>
    <t>Employee 0076</t>
  </si>
  <si>
    <t>E0077</t>
  </si>
  <si>
    <t>Employee 0077</t>
  </si>
  <si>
    <t>E0078</t>
  </si>
  <si>
    <t>Employee 0078</t>
  </si>
  <si>
    <t>E0079</t>
  </si>
  <si>
    <t>Employee 0079</t>
  </si>
  <si>
    <t>E0080</t>
  </si>
  <si>
    <t>Employee 0080</t>
  </si>
  <si>
    <t>E0081</t>
  </si>
  <si>
    <t>Employee 0081</t>
  </si>
  <si>
    <t>E0082</t>
  </si>
  <si>
    <t>Employee 0082</t>
  </si>
  <si>
    <t>E0083</t>
  </si>
  <si>
    <t>Employee 0083</t>
  </si>
  <si>
    <t>E0084</t>
  </si>
  <si>
    <t>Employee 0084</t>
  </si>
  <si>
    <t>E0085</t>
  </si>
  <si>
    <t>Employee 0085</t>
  </si>
  <si>
    <t>E0086</t>
  </si>
  <si>
    <t>Employee 0086</t>
  </si>
  <si>
    <t>E0087</t>
  </si>
  <si>
    <t>Employee 0087</t>
  </si>
  <si>
    <t>E0088</t>
  </si>
  <si>
    <t>Employee 0088</t>
  </si>
  <si>
    <t>E0089</t>
  </si>
  <si>
    <t>Employee 0089</t>
  </si>
  <si>
    <t>E0090</t>
  </si>
  <si>
    <t>Employee 0090</t>
  </si>
  <si>
    <t>E0091</t>
  </si>
  <si>
    <t>Employee 0091</t>
  </si>
  <si>
    <t>E0092</t>
  </si>
  <si>
    <t>Employee 0092</t>
  </si>
  <si>
    <t>E0093</t>
  </si>
  <si>
    <t>Employee 0093</t>
  </si>
  <si>
    <t>E0094</t>
  </si>
  <si>
    <t>Employee 0094</t>
  </si>
  <si>
    <t>E0095</t>
  </si>
  <si>
    <t>Employee 0095</t>
  </si>
  <si>
    <t>E0096</t>
  </si>
  <si>
    <t>Employee 0096</t>
  </si>
  <si>
    <t>E0097</t>
  </si>
  <si>
    <t>Employee 0097</t>
  </si>
  <si>
    <t>E0098</t>
  </si>
  <si>
    <t>Employee 0098</t>
  </si>
  <si>
    <t>E0099</t>
  </si>
  <si>
    <t>Employee 0099</t>
  </si>
  <si>
    <t>E0100</t>
  </si>
  <si>
    <t>Employee 0100</t>
  </si>
  <si>
    <t>E0101</t>
  </si>
  <si>
    <t>Employee 0101</t>
  </si>
  <si>
    <t>E0102</t>
  </si>
  <si>
    <t>Employee 0102</t>
  </si>
  <si>
    <t>E0103</t>
  </si>
  <si>
    <t>Employee 0103</t>
  </si>
  <si>
    <t>E0104</t>
  </si>
  <si>
    <t>Employee 0104</t>
  </si>
  <si>
    <t>E0105</t>
  </si>
  <si>
    <t>Employee 0105</t>
  </si>
  <si>
    <t>E0106</t>
  </si>
  <si>
    <t>Employee 0106</t>
  </si>
  <si>
    <t>E0107</t>
  </si>
  <si>
    <t>Employee 0107</t>
  </si>
  <si>
    <t>E0108</t>
  </si>
  <si>
    <t>Employee 0108</t>
  </si>
  <si>
    <t>E0109</t>
  </si>
  <si>
    <t>Employee 0109</t>
  </si>
  <si>
    <t>E0110</t>
  </si>
  <si>
    <t>Employee 0110</t>
  </si>
  <si>
    <t>E0111</t>
  </si>
  <si>
    <t>Employee 0111</t>
  </si>
  <si>
    <t>E0112</t>
  </si>
  <si>
    <t>Employee 0112</t>
  </si>
  <si>
    <t>E0113</t>
  </si>
  <si>
    <t>Employee 0113</t>
  </si>
  <si>
    <t>E0114</t>
  </si>
  <si>
    <t>Employee 0114</t>
  </si>
  <si>
    <t>E0115</t>
  </si>
  <si>
    <t>Employee 0115</t>
  </si>
  <si>
    <t>E0116</t>
  </si>
  <si>
    <t>Employee 0116</t>
  </si>
  <si>
    <t>E0117</t>
  </si>
  <si>
    <t>Employee 0117</t>
  </si>
  <si>
    <t>E0118</t>
  </si>
  <si>
    <t>Employee 0118</t>
  </si>
  <si>
    <t>E0119</t>
  </si>
  <si>
    <t>Employee 0119</t>
  </si>
  <si>
    <t>E0120</t>
  </si>
  <si>
    <t>Employee 0120</t>
  </si>
  <si>
    <t>E0121</t>
  </si>
  <si>
    <t>Employee 0121</t>
  </si>
  <si>
    <t>E0122</t>
  </si>
  <si>
    <t>Employee 0122</t>
  </si>
  <si>
    <t>E0123</t>
  </si>
  <si>
    <t>Employee 0123</t>
  </si>
  <si>
    <t>E0124</t>
  </si>
  <si>
    <t>Employee 0124</t>
  </si>
  <si>
    <t>E0125</t>
  </si>
  <si>
    <t>Employee 0125</t>
  </si>
  <si>
    <t>E0126</t>
  </si>
  <si>
    <t>Employee 0126</t>
  </si>
  <si>
    <t>E0127</t>
  </si>
  <si>
    <t>Employee 0127</t>
  </si>
  <si>
    <t>E0128</t>
  </si>
  <si>
    <t>Employee 0128</t>
  </si>
  <si>
    <t>E0129</t>
  </si>
  <si>
    <t>Employee 0129</t>
  </si>
  <si>
    <t>E0130</t>
  </si>
  <si>
    <t>Employee 0130</t>
  </si>
  <si>
    <t>E0131</t>
  </si>
  <si>
    <t>Employee 0131</t>
  </si>
  <si>
    <t>E0132</t>
  </si>
  <si>
    <t>Employee 0132</t>
  </si>
  <si>
    <t>E0133</t>
  </si>
  <si>
    <t>Employee 0133</t>
  </si>
  <si>
    <t>E0134</t>
  </si>
  <si>
    <t>Employee 0134</t>
  </si>
  <si>
    <t>E0135</t>
  </si>
  <si>
    <t>Employee 0135</t>
  </si>
  <si>
    <t>E0136</t>
  </si>
  <si>
    <t>Employee 0136</t>
  </si>
  <si>
    <t>E0137</t>
  </si>
  <si>
    <t>Employee 0137</t>
  </si>
  <si>
    <t>E0138</t>
  </si>
  <si>
    <t>Employee 0138</t>
  </si>
  <si>
    <t>E0139</t>
  </si>
  <si>
    <t>Employee 0139</t>
  </si>
  <si>
    <t>E0140</t>
  </si>
  <si>
    <t>Employee 0140</t>
  </si>
  <si>
    <t>E0141</t>
  </si>
  <si>
    <t>Employee 0141</t>
  </si>
  <si>
    <t>E0142</t>
  </si>
  <si>
    <t>Employee 0142</t>
  </si>
  <si>
    <t>E0143</t>
  </si>
  <si>
    <t>Employee 0143</t>
  </si>
  <si>
    <t>E0144</t>
  </si>
  <si>
    <t>Employee 0144</t>
  </si>
  <si>
    <t>E0145</t>
  </si>
  <si>
    <t>Employee 0145</t>
  </si>
  <si>
    <t>E0146</t>
  </si>
  <si>
    <t>Employee 0146</t>
  </si>
  <si>
    <t>E0147</t>
  </si>
  <si>
    <t>Employee 0147</t>
  </si>
  <si>
    <t>E0148</t>
  </si>
  <si>
    <t>Employee 0148</t>
  </si>
  <si>
    <t>E0149</t>
  </si>
  <si>
    <t>Employee 0149</t>
  </si>
  <si>
    <t>E0150</t>
  </si>
  <si>
    <t>Employee 0150</t>
  </si>
  <si>
    <t>E0151</t>
  </si>
  <si>
    <t>Employee 0151</t>
  </si>
  <si>
    <t>E0152</t>
  </si>
  <si>
    <t>Employee 0152</t>
  </si>
  <si>
    <t>E0153</t>
  </si>
  <si>
    <t>Employee 0153</t>
  </si>
  <si>
    <t>E0154</t>
  </si>
  <si>
    <t>Employee 0154</t>
  </si>
  <si>
    <t>E0155</t>
  </si>
  <si>
    <t>Employee 0155</t>
  </si>
  <si>
    <t>E0156</t>
  </si>
  <si>
    <t>Employee 0156</t>
  </si>
  <si>
    <t>E0157</t>
  </si>
  <si>
    <t>Employee 0157</t>
  </si>
  <si>
    <t>E0158</t>
  </si>
  <si>
    <t>Employee 0158</t>
  </si>
  <si>
    <t>E0159</t>
  </si>
  <si>
    <t>Employee 0159</t>
  </si>
  <si>
    <t>E0160</t>
  </si>
  <si>
    <t>Employee 0160</t>
  </si>
  <si>
    <t>E0161</t>
  </si>
  <si>
    <t>Employee 0161</t>
  </si>
  <si>
    <t>E0162</t>
  </si>
  <si>
    <t>Employee 0162</t>
  </si>
  <si>
    <t>E0163</t>
  </si>
  <si>
    <t>Employee 0163</t>
  </si>
  <si>
    <t>E0164</t>
  </si>
  <si>
    <t>Employee 0164</t>
  </si>
  <si>
    <t>E0165</t>
  </si>
  <si>
    <t>Employee 0165</t>
  </si>
  <si>
    <t>E0166</t>
  </si>
  <si>
    <t>Employee 0166</t>
  </si>
  <si>
    <t>E0167</t>
  </si>
  <si>
    <t>Employee 0167</t>
  </si>
  <si>
    <t>E0168</t>
  </si>
  <si>
    <t>Employee 0168</t>
  </si>
  <si>
    <t>E0169</t>
  </si>
  <si>
    <t>Employee 0169</t>
  </si>
  <si>
    <t>E0170</t>
  </si>
  <si>
    <t>Employee 0170</t>
  </si>
  <si>
    <t>E0171</t>
  </si>
  <si>
    <t>Employee 0171</t>
  </si>
  <si>
    <t>E0172</t>
  </si>
  <si>
    <t>Employee 0172</t>
  </si>
  <si>
    <t>E0173</t>
  </si>
  <si>
    <t>Employee 0173</t>
  </si>
  <si>
    <t>E0174</t>
  </si>
  <si>
    <t>Employee 0174</t>
  </si>
  <si>
    <t>E0175</t>
  </si>
  <si>
    <t>Employee 0175</t>
  </si>
  <si>
    <t>E0176</t>
  </si>
  <si>
    <t>Employee 0176</t>
  </si>
  <si>
    <t>E0177</t>
  </si>
  <si>
    <t>Employee 0177</t>
  </si>
  <si>
    <t>E0178</t>
  </si>
  <si>
    <t>Employee 0178</t>
  </si>
  <si>
    <t>E0179</t>
  </si>
  <si>
    <t>Employee 0179</t>
  </si>
  <si>
    <t>E0180</t>
  </si>
  <si>
    <t>Employee 0180</t>
  </si>
  <si>
    <t>E0181</t>
  </si>
  <si>
    <t>Employee 0181</t>
  </si>
  <si>
    <t>E0182</t>
  </si>
  <si>
    <t>Employee 0182</t>
  </si>
  <si>
    <t>E0183</t>
  </si>
  <si>
    <t>Employee 0183</t>
  </si>
  <si>
    <t>E0184</t>
  </si>
  <si>
    <t>Employee 0184</t>
  </si>
  <si>
    <t>E0185</t>
  </si>
  <si>
    <t>Employee 0185</t>
  </si>
  <si>
    <t>E0186</t>
  </si>
  <si>
    <t>Employee 0186</t>
  </si>
  <si>
    <t>E0187</t>
  </si>
  <si>
    <t>Employee 0187</t>
  </si>
  <si>
    <t>E0188</t>
  </si>
  <si>
    <t>Employee 0188</t>
  </si>
  <si>
    <t>E0189</t>
  </si>
  <si>
    <t>Employee 0189</t>
  </si>
  <si>
    <t>E0190</t>
  </si>
  <si>
    <t>Employee 0190</t>
  </si>
  <si>
    <t>E0191</t>
  </si>
  <si>
    <t>Employee 0191</t>
  </si>
  <si>
    <t>E0192</t>
  </si>
  <si>
    <t>Employee 0192</t>
  </si>
  <si>
    <t>E0193</t>
  </si>
  <si>
    <t>Employee 0193</t>
  </si>
  <si>
    <t>E0194</t>
  </si>
  <si>
    <t>Employee 0194</t>
  </si>
  <si>
    <t>E0195</t>
  </si>
  <si>
    <t>Employee 0195</t>
  </si>
  <si>
    <t>E0196</t>
  </si>
  <si>
    <t>Employee 0196</t>
  </si>
  <si>
    <t>E0197</t>
  </si>
  <si>
    <t>Employee 0197</t>
  </si>
  <si>
    <t>E0198</t>
  </si>
  <si>
    <t>Employee 0198</t>
  </si>
  <si>
    <t>E0199</t>
  </si>
  <si>
    <t>Employee 0199</t>
  </si>
  <si>
    <t>E0200</t>
  </si>
  <si>
    <t>Employee 0200</t>
  </si>
  <si>
    <t>E0201</t>
  </si>
  <si>
    <t>Employee 0201</t>
  </si>
  <si>
    <t>E0202</t>
  </si>
  <si>
    <t>Employee 0202</t>
  </si>
  <si>
    <t>E0203</t>
  </si>
  <si>
    <t>Employee 0203</t>
  </si>
  <si>
    <t>E0204</t>
  </si>
  <si>
    <t>Employee 0204</t>
  </si>
  <si>
    <t>E0205</t>
  </si>
  <si>
    <t>Employee 0205</t>
  </si>
  <si>
    <t>E0206</t>
  </si>
  <si>
    <t>Employee 0206</t>
  </si>
  <si>
    <t>E0207</t>
  </si>
  <si>
    <t>Employee 0207</t>
  </si>
  <si>
    <t>E0208</t>
  </si>
  <si>
    <t>Employee 0208</t>
  </si>
  <si>
    <t>E0209</t>
  </si>
  <si>
    <t>Employee 0209</t>
  </si>
  <si>
    <t>E0210</t>
  </si>
  <si>
    <t>Employee 0210</t>
  </si>
  <si>
    <t>E0211</t>
  </si>
  <si>
    <t>Employee 0211</t>
  </si>
  <si>
    <t>E0212</t>
  </si>
  <si>
    <t>Employee 0212</t>
  </si>
  <si>
    <t>E0213</t>
  </si>
  <si>
    <t>Employee 0213</t>
  </si>
  <si>
    <t>E0214</t>
  </si>
  <si>
    <t>Employee 0214</t>
  </si>
  <si>
    <t>E0215</t>
  </si>
  <si>
    <t>Employee 0215</t>
  </si>
  <si>
    <t>E0216</t>
  </si>
  <si>
    <t>Employee 0216</t>
  </si>
  <si>
    <t>E0217</t>
  </si>
  <si>
    <t>Employee 0217</t>
  </si>
  <si>
    <t>E0218</t>
  </si>
  <si>
    <t>Employee 0218</t>
  </si>
  <si>
    <t>E0219</t>
  </si>
  <si>
    <t>Employee 0219</t>
  </si>
  <si>
    <t>E0220</t>
  </si>
  <si>
    <t>Employee 0220</t>
  </si>
  <si>
    <t>E0221</t>
  </si>
  <si>
    <t>Employee 0221</t>
  </si>
  <si>
    <t>E0222</t>
  </si>
  <si>
    <t>Employee 0222</t>
  </si>
  <si>
    <t>E0223</t>
  </si>
  <si>
    <t>Employee 0223</t>
  </si>
  <si>
    <t>E0224</t>
  </si>
  <si>
    <t>Employee 0224</t>
  </si>
  <si>
    <t>E0225</t>
  </si>
  <si>
    <t>Employee 0225</t>
  </si>
  <si>
    <t>E0226</t>
  </si>
  <si>
    <t>Employee 0226</t>
  </si>
  <si>
    <t>E0227</t>
  </si>
  <si>
    <t>Employee 0227</t>
  </si>
  <si>
    <t>E0228</t>
  </si>
  <si>
    <t>Employee 0228</t>
  </si>
  <si>
    <t>E0229</t>
  </si>
  <si>
    <t>Employee 0229</t>
  </si>
  <si>
    <t>E0230</t>
  </si>
  <si>
    <t>Employee 0230</t>
  </si>
  <si>
    <t>E0231</t>
  </si>
  <si>
    <t>Employee 0231</t>
  </si>
  <si>
    <t>E0232</t>
  </si>
  <si>
    <t>Employee 0232</t>
  </si>
  <si>
    <t>E0233</t>
  </si>
  <si>
    <t>Employee 0233</t>
  </si>
  <si>
    <t>E0234</t>
  </si>
  <si>
    <t>Employee 0234</t>
  </si>
  <si>
    <t>E0235</t>
  </si>
  <si>
    <t>Employee 0235</t>
  </si>
  <si>
    <t>E0236</t>
  </si>
  <si>
    <t>Employee 0236</t>
  </si>
  <si>
    <t>E0237</t>
  </si>
  <si>
    <t>Employee 0237</t>
  </si>
  <si>
    <t>E0238</t>
  </si>
  <si>
    <t>Employee 0238</t>
  </si>
  <si>
    <t>E0239</t>
  </si>
  <si>
    <t>Employee 0239</t>
  </si>
  <si>
    <t>E0240</t>
  </si>
  <si>
    <t>Employee 0240</t>
  </si>
  <si>
    <t>E0241</t>
  </si>
  <si>
    <t>Employee 0241</t>
  </si>
  <si>
    <t>E0242</t>
  </si>
  <si>
    <t>Employee 0242</t>
  </si>
  <si>
    <t>E0243</t>
  </si>
  <si>
    <t>Employee 0243</t>
  </si>
  <si>
    <t>E0244</t>
  </si>
  <si>
    <t>Employee 0244</t>
  </si>
  <si>
    <t>E0245</t>
  </si>
  <si>
    <t>Employee 0245</t>
  </si>
  <si>
    <t>E0246</t>
  </si>
  <si>
    <t>Employee 0246</t>
  </si>
  <si>
    <t>E0247</t>
  </si>
  <si>
    <t>Employee 0247</t>
  </si>
  <si>
    <t>E0248</t>
  </si>
  <si>
    <t>Employee 0248</t>
  </si>
  <si>
    <t>E0249</t>
  </si>
  <si>
    <t>Employee 0249</t>
  </si>
  <si>
    <t>E0250</t>
  </si>
  <si>
    <t>Employee 0250</t>
  </si>
  <si>
    <t>E0251</t>
  </si>
  <si>
    <t>Employee 0251</t>
  </si>
  <si>
    <t>E0252</t>
  </si>
  <si>
    <t>Employee 0252</t>
  </si>
  <si>
    <t>E0253</t>
  </si>
  <si>
    <t>Employee 0253</t>
  </si>
  <si>
    <t>E0254</t>
  </si>
  <si>
    <t>Employee 0254</t>
  </si>
  <si>
    <t>E0255</t>
  </si>
  <si>
    <t>Employee 0255</t>
  </si>
  <si>
    <t>E0256</t>
  </si>
  <si>
    <t>Employee 0256</t>
  </si>
  <si>
    <t>E0257</t>
  </si>
  <si>
    <t>Employee 0257</t>
  </si>
  <si>
    <t>E0258</t>
  </si>
  <si>
    <t>Employee 0258</t>
  </si>
  <si>
    <t>E0259</t>
  </si>
  <si>
    <t>Employee 0259</t>
  </si>
  <si>
    <t>E0260</t>
  </si>
  <si>
    <t>Employee 0260</t>
  </si>
  <si>
    <t>E0261</t>
  </si>
  <si>
    <t>Employee 0261</t>
  </si>
  <si>
    <t>E0262</t>
  </si>
  <si>
    <t>Employee 0262</t>
  </si>
  <si>
    <t>E0263</t>
  </si>
  <si>
    <t>Employee 0263</t>
  </si>
  <si>
    <t>E0264</t>
  </si>
  <si>
    <t>Employee 0264</t>
  </si>
  <si>
    <t>E0265</t>
  </si>
  <si>
    <t>Employee 0265</t>
  </si>
  <si>
    <t>E0266</t>
  </si>
  <si>
    <t>Employee 0266</t>
  </si>
  <si>
    <t>E0267</t>
  </si>
  <si>
    <t>Employee 0267</t>
  </si>
  <si>
    <t>E0268</t>
  </si>
  <si>
    <t>Employee 0268</t>
  </si>
  <si>
    <t>E0269</t>
  </si>
  <si>
    <t>Employee 0269</t>
  </si>
  <si>
    <t>E0270</t>
  </si>
  <si>
    <t>Employee 0270</t>
  </si>
  <si>
    <t>E0271</t>
  </si>
  <si>
    <t>Employee 0271</t>
  </si>
  <si>
    <t>E0272</t>
  </si>
  <si>
    <t>Employee 0272</t>
  </si>
  <si>
    <t>E0273</t>
  </si>
  <si>
    <t>Employee 0273</t>
  </si>
  <si>
    <t>E0274</t>
  </si>
  <si>
    <t>Employee 0274</t>
  </si>
  <si>
    <t>E0275</t>
  </si>
  <si>
    <t>Employee 0275</t>
  </si>
  <si>
    <t>E0276</t>
  </si>
  <si>
    <t>Employee 0276</t>
  </si>
  <si>
    <t>E0277</t>
  </si>
  <si>
    <t>Employee 0277</t>
  </si>
  <si>
    <t>E0278</t>
  </si>
  <si>
    <t>Employee 0278</t>
  </si>
  <si>
    <t>E0279</t>
  </si>
  <si>
    <t>Employee 0279</t>
  </si>
  <si>
    <t>E0280</t>
  </si>
  <si>
    <t>Employee 0280</t>
  </si>
  <si>
    <t>E0281</t>
  </si>
  <si>
    <t>Employee 0281</t>
  </si>
  <si>
    <t>E0282</t>
  </si>
  <si>
    <t>Employee 0282</t>
  </si>
  <si>
    <t>E0283</t>
  </si>
  <si>
    <t>Employee 0283</t>
  </si>
  <si>
    <t>E0284</t>
  </si>
  <si>
    <t>Employee 0284</t>
  </si>
  <si>
    <t>E0285</t>
  </si>
  <si>
    <t>Employee 0285</t>
  </si>
  <si>
    <t>E0286</t>
  </si>
  <si>
    <t>Employee 0286</t>
  </si>
  <si>
    <t>E0287</t>
  </si>
  <si>
    <t>Employee 0287</t>
  </si>
  <si>
    <t>E0288</t>
  </si>
  <si>
    <t>Employee 0288</t>
  </si>
  <si>
    <t>E0289</t>
  </si>
  <si>
    <t>Employee 0289</t>
  </si>
  <si>
    <t>E0290</t>
  </si>
  <si>
    <t>Employee 0290</t>
  </si>
  <si>
    <t>E0291</t>
  </si>
  <si>
    <t>Employee 0291</t>
  </si>
  <si>
    <t>E0292</t>
  </si>
  <si>
    <t>Employee 0292</t>
  </si>
  <si>
    <t>E0293</t>
  </si>
  <si>
    <t>Employee 0293</t>
  </si>
  <si>
    <t>E0294</t>
  </si>
  <si>
    <t>Employee 0294</t>
  </si>
  <si>
    <t>E0295</t>
  </si>
  <si>
    <t>Employee 0295</t>
  </si>
  <si>
    <t>E0296</t>
  </si>
  <si>
    <t>Employee 0296</t>
  </si>
  <si>
    <t>E0297</t>
  </si>
  <si>
    <t>Employee 0297</t>
  </si>
  <si>
    <t>E0298</t>
  </si>
  <si>
    <t>Employee 0298</t>
  </si>
  <si>
    <t>E0299</t>
  </si>
  <si>
    <t>Employee 0299</t>
  </si>
  <si>
    <t>E0300</t>
  </si>
  <si>
    <t>Employee 0300</t>
  </si>
  <si>
    <t>E0301</t>
  </si>
  <si>
    <t>Employee 0301</t>
  </si>
  <si>
    <t>E0302</t>
  </si>
  <si>
    <t>Employee 0302</t>
  </si>
  <si>
    <t>E0303</t>
  </si>
  <si>
    <t>Employee 0303</t>
  </si>
  <si>
    <t>E0304</t>
  </si>
  <si>
    <t>Employee 0304</t>
  </si>
  <si>
    <t>E0305</t>
  </si>
  <si>
    <t>Employee 0305</t>
  </si>
  <si>
    <t>E0306</t>
  </si>
  <si>
    <t>Employee 0306</t>
  </si>
  <si>
    <t>E0307</t>
  </si>
  <si>
    <t>Employee 0307</t>
  </si>
  <si>
    <t>E0308</t>
  </si>
  <si>
    <t>Employee 0308</t>
  </si>
  <si>
    <t>E0309</t>
  </si>
  <si>
    <t>Employee 0309</t>
  </si>
  <si>
    <t>E0310</t>
  </si>
  <si>
    <t>Employee 0310</t>
  </si>
  <si>
    <t>E0311</t>
  </si>
  <si>
    <t>Employee 0311</t>
  </si>
  <si>
    <t>E0312</t>
  </si>
  <si>
    <t>Employee 0312</t>
  </si>
  <si>
    <t>E0313</t>
  </si>
  <si>
    <t>Employee 0313</t>
  </si>
  <si>
    <t>E0314</t>
  </si>
  <si>
    <t>Employee 0314</t>
  </si>
  <si>
    <t>E0315</t>
  </si>
  <si>
    <t>Employee 0315</t>
  </si>
  <si>
    <t>E0316</t>
  </si>
  <si>
    <t>Employee 0316</t>
  </si>
  <si>
    <t>E0317</t>
  </si>
  <si>
    <t>Employee 0317</t>
  </si>
  <si>
    <t>E0318</t>
  </si>
  <si>
    <t>Employee 0318</t>
  </si>
  <si>
    <t>E0319</t>
  </si>
  <si>
    <t>Employee 0319</t>
  </si>
  <si>
    <t>E0320</t>
  </si>
  <si>
    <t>Employee 0320</t>
  </si>
  <si>
    <t>E0321</t>
  </si>
  <si>
    <t>Employee 0321</t>
  </si>
  <si>
    <t>E0322</t>
  </si>
  <si>
    <t>Employee 0322</t>
  </si>
  <si>
    <t>E0323</t>
  </si>
  <si>
    <t>Employee 0323</t>
  </si>
  <si>
    <t>E0324</t>
  </si>
  <si>
    <t>Employee 0324</t>
  </si>
  <si>
    <t>E0325</t>
  </si>
  <si>
    <t>Employee 0325</t>
  </si>
  <si>
    <t>E0326</t>
  </si>
  <si>
    <t>Employee 0326</t>
  </si>
  <si>
    <t>E0327</t>
  </si>
  <si>
    <t>Employee 0327</t>
  </si>
  <si>
    <t>E0328</t>
  </si>
  <si>
    <t>Employee 0328</t>
  </si>
  <si>
    <t>E0329</t>
  </si>
  <si>
    <t>Employee 0329</t>
  </si>
  <si>
    <t>E0330</t>
  </si>
  <si>
    <t>Employee 0330</t>
  </si>
  <si>
    <t>E0331</t>
  </si>
  <si>
    <t>Employee 0331</t>
  </si>
  <si>
    <t>E0332</t>
  </si>
  <si>
    <t>Employee 0332</t>
  </si>
  <si>
    <t>E0333</t>
  </si>
  <si>
    <t>Employee 0333</t>
  </si>
  <si>
    <t>E0334</t>
  </si>
  <si>
    <t>Employee 0334</t>
  </si>
  <si>
    <t>E0335</t>
  </si>
  <si>
    <t>Employee 0335</t>
  </si>
  <si>
    <t>E0336</t>
  </si>
  <si>
    <t>Employee 0336</t>
  </si>
  <si>
    <t>E0337</t>
  </si>
  <si>
    <t>Employee 0337</t>
  </si>
  <si>
    <t>E0338</t>
  </si>
  <si>
    <t>Employee 0338</t>
  </si>
  <si>
    <t>E0339</t>
  </si>
  <si>
    <t>Employee 0339</t>
  </si>
  <si>
    <t>E0340</t>
  </si>
  <si>
    <t>Employee 0340</t>
  </si>
  <si>
    <t>E0341</t>
  </si>
  <si>
    <t>Employee 0341</t>
  </si>
  <si>
    <t>E0342</t>
  </si>
  <si>
    <t>Employee 0342</t>
  </si>
  <si>
    <t>E0343</t>
  </si>
  <si>
    <t>Employee 0343</t>
  </si>
  <si>
    <t>E0344</t>
  </si>
  <si>
    <t>Employee 0344</t>
  </si>
  <si>
    <t>E0345</t>
  </si>
  <si>
    <t>Employee 0345</t>
  </si>
  <si>
    <t>E0346</t>
  </si>
  <si>
    <t>Employee 0346</t>
  </si>
  <si>
    <t>E0347</t>
  </si>
  <si>
    <t>Employee 0347</t>
  </si>
  <si>
    <t>E0348</t>
  </si>
  <si>
    <t>Employee 0348</t>
  </si>
  <si>
    <t>E0349</t>
  </si>
  <si>
    <t>Employee 0349</t>
  </si>
  <si>
    <t>E0350</t>
  </si>
  <si>
    <t>Employee 0350</t>
  </si>
  <si>
    <t>E0351</t>
  </si>
  <si>
    <t>Employee 0351</t>
  </si>
  <si>
    <t>E0352</t>
  </si>
  <si>
    <t>Employee 0352</t>
  </si>
  <si>
    <t>E0353</t>
  </si>
  <si>
    <t>Employee 0353</t>
  </si>
  <si>
    <t>E0354</t>
  </si>
  <si>
    <t>Employee 0354</t>
  </si>
  <si>
    <t>E0355</t>
  </si>
  <si>
    <t>Employee 0355</t>
  </si>
  <si>
    <t>E0356</t>
  </si>
  <si>
    <t>Employee 0356</t>
  </si>
  <si>
    <t>E0357</t>
  </si>
  <si>
    <t>Employee 0357</t>
  </si>
  <si>
    <t>E0358</t>
  </si>
  <si>
    <t>Employee 0358</t>
  </si>
  <si>
    <t>E0359</t>
  </si>
  <si>
    <t>Employee 0359</t>
  </si>
  <si>
    <t>E0360</t>
  </si>
  <si>
    <t>Employee 0360</t>
  </si>
  <si>
    <t>E0361</t>
  </si>
  <si>
    <t>Employee 0361</t>
  </si>
  <si>
    <t>E0362</t>
  </si>
  <si>
    <t>Employee 0362</t>
  </si>
  <si>
    <t>E0363</t>
  </si>
  <si>
    <t>Employee 0363</t>
  </si>
  <si>
    <t>E0364</t>
  </si>
  <si>
    <t>Employee 0364</t>
  </si>
  <si>
    <t>E0365</t>
  </si>
  <si>
    <t>Employee 0365</t>
  </si>
  <si>
    <t>E0366</t>
  </si>
  <si>
    <t>Employee 0366</t>
  </si>
  <si>
    <t>E0367</t>
  </si>
  <si>
    <t>Employee 0367</t>
  </si>
  <si>
    <t>E0368</t>
  </si>
  <si>
    <t>Employee 0368</t>
  </si>
  <si>
    <t>E0369</t>
  </si>
  <si>
    <t>Employee 0369</t>
  </si>
  <si>
    <t>E0370</t>
  </si>
  <si>
    <t>Employee 0370</t>
  </si>
  <si>
    <t>E0371</t>
  </si>
  <si>
    <t>Employee 0371</t>
  </si>
  <si>
    <t>E0372</t>
  </si>
  <si>
    <t>Employee 0372</t>
  </si>
  <si>
    <t>E0373</t>
  </si>
  <si>
    <t>Employee 0373</t>
  </si>
  <si>
    <t>E0374</t>
  </si>
  <si>
    <t>Employee 0374</t>
  </si>
  <si>
    <t>E0375</t>
  </si>
  <si>
    <t>Employee 0375</t>
  </si>
  <si>
    <t>E0376</t>
  </si>
  <si>
    <t>Employee 0376</t>
  </si>
  <si>
    <t>E0377</t>
  </si>
  <si>
    <t>Employee 0377</t>
  </si>
  <si>
    <t>E0378</t>
  </si>
  <si>
    <t>Employee 0378</t>
  </si>
  <si>
    <t>E0379</t>
  </si>
  <si>
    <t>Employee 0379</t>
  </si>
  <si>
    <t>E0380</t>
  </si>
  <si>
    <t>Employee 0380</t>
  </si>
  <si>
    <t>E0381</t>
  </si>
  <si>
    <t>Employee 0381</t>
  </si>
  <si>
    <t>E0382</t>
  </si>
  <si>
    <t>Employee 0382</t>
  </si>
  <si>
    <t>E0383</t>
  </si>
  <si>
    <t>Employee 0383</t>
  </si>
  <si>
    <t>E0384</t>
  </si>
  <si>
    <t>Employee 0384</t>
  </si>
  <si>
    <t>E0385</t>
  </si>
  <si>
    <t>Employee 0385</t>
  </si>
  <si>
    <t>E0386</t>
  </si>
  <si>
    <t>Employee 0386</t>
  </si>
  <si>
    <t>E0387</t>
  </si>
  <si>
    <t>Employee 0387</t>
  </si>
  <si>
    <t>E0388</t>
  </si>
  <si>
    <t>Employee 0388</t>
  </si>
  <si>
    <t>E0389</t>
  </si>
  <si>
    <t>Employee 0389</t>
  </si>
  <si>
    <t>E0390</t>
  </si>
  <si>
    <t>Employee 0390</t>
  </si>
  <si>
    <t>E0391</t>
  </si>
  <si>
    <t>Employee 0391</t>
  </si>
  <si>
    <t>E0392</t>
  </si>
  <si>
    <t>Employee 0392</t>
  </si>
  <si>
    <t>E0393</t>
  </si>
  <si>
    <t>Employee 0393</t>
  </si>
  <si>
    <t>E0394</t>
  </si>
  <si>
    <t>Employee 0394</t>
  </si>
  <si>
    <t>E0395</t>
  </si>
  <si>
    <t>Employee 0395</t>
  </si>
  <si>
    <t>E0396</t>
  </si>
  <si>
    <t>Employee 0396</t>
  </si>
  <si>
    <t>E0397</t>
  </si>
  <si>
    <t>Employee 0397</t>
  </si>
  <si>
    <t>E0398</t>
  </si>
  <si>
    <t>Employee 0398</t>
  </si>
  <si>
    <t>E0399</t>
  </si>
  <si>
    <t>Employee 0399</t>
  </si>
  <si>
    <t>E0400</t>
  </si>
  <si>
    <t>Employee 0400</t>
  </si>
  <si>
    <t>E0401</t>
  </si>
  <si>
    <t>Employee 0401</t>
  </si>
  <si>
    <t>E0402</t>
  </si>
  <si>
    <t>Employee 0402</t>
  </si>
  <si>
    <t>E0403</t>
  </si>
  <si>
    <t>Employee 0403</t>
  </si>
  <si>
    <t>E0404</t>
  </si>
  <si>
    <t>Employee 0404</t>
  </si>
  <si>
    <t>E0405</t>
  </si>
  <si>
    <t>Employee 0405</t>
  </si>
  <si>
    <t>E0406</t>
  </si>
  <si>
    <t>Employee 0406</t>
  </si>
  <si>
    <t>E0407</t>
  </si>
  <si>
    <t>Employee 0407</t>
  </si>
  <si>
    <t>E0408</t>
  </si>
  <si>
    <t>Employee 0408</t>
  </si>
  <si>
    <t>E0409</t>
  </si>
  <si>
    <t>Employee 0409</t>
  </si>
  <si>
    <t>E0410</t>
  </si>
  <si>
    <t>Employee 0410</t>
  </si>
  <si>
    <t>E0411</t>
  </si>
  <si>
    <t>Employee 0411</t>
  </si>
  <si>
    <t>E0412</t>
  </si>
  <si>
    <t>Employee 0412</t>
  </si>
  <si>
    <t>E0413</t>
  </si>
  <si>
    <t>Employee 0413</t>
  </si>
  <si>
    <t>E0414</t>
  </si>
  <si>
    <t>Employee 0414</t>
  </si>
  <si>
    <t>E0415</t>
  </si>
  <si>
    <t>Employee 0415</t>
  </si>
  <si>
    <t>E0416</t>
  </si>
  <si>
    <t>Employee 0416</t>
  </si>
  <si>
    <t>E0417</t>
  </si>
  <si>
    <t>Employee 0417</t>
  </si>
  <si>
    <t>E0418</t>
  </si>
  <si>
    <t>Employee 0418</t>
  </si>
  <si>
    <t>E0419</t>
  </si>
  <si>
    <t>Employee 0419</t>
  </si>
  <si>
    <t>E0420</t>
  </si>
  <si>
    <t>Employee 0420</t>
  </si>
  <si>
    <t>E0421</t>
  </si>
  <si>
    <t>Employee 0421</t>
  </si>
  <si>
    <t>E0422</t>
  </si>
  <si>
    <t>Employee 0422</t>
  </si>
  <si>
    <t>E0423</t>
  </si>
  <si>
    <t>Employee 0423</t>
  </si>
  <si>
    <t>E0424</t>
  </si>
  <si>
    <t>Employee 0424</t>
  </si>
  <si>
    <t>E0425</t>
  </si>
  <si>
    <t>Employee 0425</t>
  </si>
  <si>
    <t>E0426</t>
  </si>
  <si>
    <t>Employee 0426</t>
  </si>
  <si>
    <t>E0427</t>
  </si>
  <si>
    <t>Employee 0427</t>
  </si>
  <si>
    <t>E0428</t>
  </si>
  <si>
    <t>Employee 0428</t>
  </si>
  <si>
    <t>E0429</t>
  </si>
  <si>
    <t>Employee 0429</t>
  </si>
  <si>
    <t>E0430</t>
  </si>
  <si>
    <t>Employee 0430</t>
  </si>
  <si>
    <t>E0431</t>
  </si>
  <si>
    <t>Employee 0431</t>
  </si>
  <si>
    <t>E0432</t>
  </si>
  <si>
    <t>Employee 0432</t>
  </si>
  <si>
    <t>E0433</t>
  </si>
  <si>
    <t>Employee 0433</t>
  </si>
  <si>
    <t>E0434</t>
  </si>
  <si>
    <t>Employee 0434</t>
  </si>
  <si>
    <t>E0435</t>
  </si>
  <si>
    <t>Employee 0435</t>
  </si>
  <si>
    <t>E0436</t>
  </si>
  <si>
    <t>Employee 0436</t>
  </si>
  <si>
    <t>E0437</t>
  </si>
  <si>
    <t>Employee 0437</t>
  </si>
  <si>
    <t>E0438</t>
  </si>
  <si>
    <t>Employee 0438</t>
  </si>
  <si>
    <t>E0439</t>
  </si>
  <si>
    <t>Employee 0439</t>
  </si>
  <si>
    <t>E0440</t>
  </si>
  <si>
    <t>Employee 0440</t>
  </si>
  <si>
    <t>E0441</t>
  </si>
  <si>
    <t>Employee 0441</t>
  </si>
  <si>
    <t>E0442</t>
  </si>
  <si>
    <t>Employee 0442</t>
  </si>
  <si>
    <t>E0443</t>
  </si>
  <si>
    <t>Employee 0443</t>
  </si>
  <si>
    <t>E0444</t>
  </si>
  <si>
    <t>Employee 0444</t>
  </si>
  <si>
    <t>E0445</t>
  </si>
  <si>
    <t>Employee 0445</t>
  </si>
  <si>
    <t>E0446</t>
  </si>
  <si>
    <t>Employee 0446</t>
  </si>
  <si>
    <t>E0447</t>
  </si>
  <si>
    <t>Employee 0447</t>
  </si>
  <si>
    <t>E0448</t>
  </si>
  <si>
    <t>Employee 0448</t>
  </si>
  <si>
    <t>E0449</t>
  </si>
  <si>
    <t>Employee 0449</t>
  </si>
  <si>
    <t>E0450</t>
  </si>
  <si>
    <t>Employee 0450</t>
  </si>
  <si>
    <t>E0451</t>
  </si>
  <si>
    <t>Employee 0451</t>
  </si>
  <si>
    <t>E0452</t>
  </si>
  <si>
    <t>Employee 0452</t>
  </si>
  <si>
    <t>E0453</t>
  </si>
  <si>
    <t>Employee 0453</t>
  </si>
  <si>
    <t>E0454</t>
  </si>
  <si>
    <t>Employee 0454</t>
  </si>
  <si>
    <t>E0455</t>
  </si>
  <si>
    <t>Employee 0455</t>
  </si>
  <si>
    <t>E0456</t>
  </si>
  <si>
    <t>Employee 0456</t>
  </si>
  <si>
    <t>E0457</t>
  </si>
  <si>
    <t>Employee 0457</t>
  </si>
  <si>
    <t>E0458</t>
  </si>
  <si>
    <t>Employee 0458</t>
  </si>
  <si>
    <t>E0459</t>
  </si>
  <si>
    <t>Employee 0459</t>
  </si>
  <si>
    <t>E0460</t>
  </si>
  <si>
    <t>Employee 0460</t>
  </si>
  <si>
    <t>E0461</t>
  </si>
  <si>
    <t>Employee 0461</t>
  </si>
  <si>
    <t>E0462</t>
  </si>
  <si>
    <t>Employee 0462</t>
  </si>
  <si>
    <t>E0463</t>
  </si>
  <si>
    <t>Employee 0463</t>
  </si>
  <si>
    <t>E0464</t>
  </si>
  <si>
    <t>Employee 0464</t>
  </si>
  <si>
    <t>E0465</t>
  </si>
  <si>
    <t>Employee 0465</t>
  </si>
  <si>
    <t>E0466</t>
  </si>
  <si>
    <t>Employee 0466</t>
  </si>
  <si>
    <t>E0467</t>
  </si>
  <si>
    <t>Employee 0467</t>
  </si>
  <si>
    <t>E0468</t>
  </si>
  <si>
    <t>Employee 0468</t>
  </si>
  <si>
    <t>E0469</t>
  </si>
  <si>
    <t>Employee 0469</t>
  </si>
  <si>
    <t>E0470</t>
  </si>
  <si>
    <t>Employee 0470</t>
  </si>
  <si>
    <t>E0471</t>
  </si>
  <si>
    <t>Employee 0471</t>
  </si>
  <si>
    <t>E0472</t>
  </si>
  <si>
    <t>Employee 0472</t>
  </si>
  <si>
    <t>E0473</t>
  </si>
  <si>
    <t>Employee 0473</t>
  </si>
  <si>
    <t>E0474</t>
  </si>
  <si>
    <t>Employee 0474</t>
  </si>
  <si>
    <t>E0475</t>
  </si>
  <si>
    <t>Employee 0475</t>
  </si>
  <si>
    <t>E0476</t>
  </si>
  <si>
    <t>Employee 0476</t>
  </si>
  <si>
    <t>E0477</t>
  </si>
  <si>
    <t>Employee 0477</t>
  </si>
  <si>
    <t>E0478</t>
  </si>
  <si>
    <t>Employee 0478</t>
  </si>
  <si>
    <t>E0479</t>
  </si>
  <si>
    <t>Employee 0479</t>
  </si>
  <si>
    <t>E0480</t>
  </si>
  <si>
    <t>Employee 0480</t>
  </si>
  <si>
    <t>E0481</t>
  </si>
  <si>
    <t>Employee 0481</t>
  </si>
  <si>
    <t>E0482</t>
  </si>
  <si>
    <t>Employee 0482</t>
  </si>
  <si>
    <t>E0483</t>
  </si>
  <si>
    <t>Employee 0483</t>
  </si>
  <si>
    <t>E0484</t>
  </si>
  <si>
    <t>Employee 0484</t>
  </si>
  <si>
    <t>E0485</t>
  </si>
  <si>
    <t>Employee 0485</t>
  </si>
  <si>
    <t>E0486</t>
  </si>
  <si>
    <t>Employee 0486</t>
  </si>
  <si>
    <t>E0487</t>
  </si>
  <si>
    <t>Employee 0487</t>
  </si>
  <si>
    <t>E0488</t>
  </si>
  <si>
    <t>Employee 0488</t>
  </si>
  <si>
    <t>E0489</t>
  </si>
  <si>
    <t>Employee 0489</t>
  </si>
  <si>
    <t>E0490</t>
  </si>
  <si>
    <t>Employee 0490</t>
  </si>
  <si>
    <t>E0491</t>
  </si>
  <si>
    <t>Employee 0491</t>
  </si>
  <si>
    <t>E0492</t>
  </si>
  <si>
    <t>Employee 0492</t>
  </si>
  <si>
    <t>E0493</t>
  </si>
  <si>
    <t>Employee 0493</t>
  </si>
  <si>
    <t>E0494</t>
  </si>
  <si>
    <t>Employee 0494</t>
  </si>
  <si>
    <t>E0495</t>
  </si>
  <si>
    <t>Employee 0495</t>
  </si>
  <si>
    <t>E0496</t>
  </si>
  <si>
    <t>Employee 0496</t>
  </si>
  <si>
    <t>E0497</t>
  </si>
  <si>
    <t>Employee 0497</t>
  </si>
  <si>
    <t>E0498</t>
  </si>
  <si>
    <t>Employee 0498</t>
  </si>
  <si>
    <t>E0499</t>
  </si>
  <si>
    <t>Employee 0499</t>
  </si>
  <si>
    <t>E0500</t>
  </si>
  <si>
    <t>Employee 0500</t>
  </si>
  <si>
    <t>E0501</t>
  </si>
  <si>
    <t>Employee 0501</t>
  </si>
  <si>
    <t>E0502</t>
  </si>
  <si>
    <t>Employee 0502</t>
  </si>
  <si>
    <t>E0503</t>
  </si>
  <si>
    <t>Employee 0503</t>
  </si>
  <si>
    <t>E0504</t>
  </si>
  <si>
    <t>Employee 0504</t>
  </si>
  <si>
    <t>E0505</t>
  </si>
  <si>
    <t>Employee 0505</t>
  </si>
  <si>
    <t>E0506</t>
  </si>
  <si>
    <t>Employee 0506</t>
  </si>
  <si>
    <t>E0507</t>
  </si>
  <si>
    <t>Employee 0507</t>
  </si>
  <si>
    <t>E0508</t>
  </si>
  <si>
    <t>Employee 0508</t>
  </si>
  <si>
    <t>E0509</t>
  </si>
  <si>
    <t>Employee 0509</t>
  </si>
  <si>
    <t>E0510</t>
  </si>
  <si>
    <t>Employee 0510</t>
  </si>
  <si>
    <t>E0511</t>
  </si>
  <si>
    <t>Employee 0511</t>
  </si>
  <si>
    <t>E0512</t>
  </si>
  <si>
    <t>Employee 0512</t>
  </si>
  <si>
    <t>E0513</t>
  </si>
  <si>
    <t>Employee 0513</t>
  </si>
  <si>
    <t>E0514</t>
  </si>
  <si>
    <t>Employee 0514</t>
  </si>
  <si>
    <t>E0515</t>
  </si>
  <si>
    <t>Employee 0515</t>
  </si>
  <si>
    <t>E0516</t>
  </si>
  <si>
    <t>Employee 0516</t>
  </si>
  <si>
    <t>E0517</t>
  </si>
  <si>
    <t>Employee 0517</t>
  </si>
  <si>
    <t>E0518</t>
  </si>
  <si>
    <t>Employee 0518</t>
  </si>
  <si>
    <t>E0519</t>
  </si>
  <si>
    <t>Employee 0519</t>
  </si>
  <si>
    <t>E0520</t>
  </si>
  <si>
    <t>Employee 0520</t>
  </si>
  <si>
    <t>E0521</t>
  </si>
  <si>
    <t>Employee 0521</t>
  </si>
  <si>
    <t>E0522</t>
  </si>
  <si>
    <t>Employee 0522</t>
  </si>
  <si>
    <t>E0523</t>
  </si>
  <si>
    <t>Employee 0523</t>
  </si>
  <si>
    <t>E0524</t>
  </si>
  <si>
    <t>Employee 0524</t>
  </si>
  <si>
    <t>E0525</t>
  </si>
  <si>
    <t>Employee 0525</t>
  </si>
  <si>
    <t>E0526</t>
  </si>
  <si>
    <t>Employee 0526</t>
  </si>
  <si>
    <t>E0527</t>
  </si>
  <si>
    <t>Employee 0527</t>
  </si>
  <si>
    <t>E0528</t>
  </si>
  <si>
    <t>Employee 0528</t>
  </si>
  <si>
    <t>E0529</t>
  </si>
  <si>
    <t>Employee 0529</t>
  </si>
  <si>
    <t>E0530</t>
  </si>
  <si>
    <t>Employee 0530</t>
  </si>
  <si>
    <t>E0531</t>
  </si>
  <si>
    <t>Employee 0531</t>
  </si>
  <si>
    <t>E0532</t>
  </si>
  <si>
    <t>Employee 0532</t>
  </si>
  <si>
    <t>E0533</t>
  </si>
  <si>
    <t>Employee 0533</t>
  </si>
  <si>
    <t>E0534</t>
  </si>
  <si>
    <t>Employee 0534</t>
  </si>
  <si>
    <t>E0535</t>
  </si>
  <si>
    <t>Employee 0535</t>
  </si>
  <si>
    <t>E0536</t>
  </si>
  <si>
    <t>Employee 0536</t>
  </si>
  <si>
    <t>E0537</t>
  </si>
  <si>
    <t>Employee 0537</t>
  </si>
  <si>
    <t>E0538</t>
  </si>
  <si>
    <t>Employee 0538</t>
  </si>
  <si>
    <t>E0539</t>
  </si>
  <si>
    <t>Employee 0539</t>
  </si>
  <si>
    <t>E0540</t>
  </si>
  <si>
    <t>Employee 0540</t>
  </si>
  <si>
    <t>E0541</t>
  </si>
  <si>
    <t>Employee 0541</t>
  </si>
  <si>
    <t>E0542</t>
  </si>
  <si>
    <t>Employee 0542</t>
  </si>
  <si>
    <t>E0543</t>
  </si>
  <si>
    <t>Employee 0543</t>
  </si>
  <si>
    <t>E0544</t>
  </si>
  <si>
    <t>Employee 0544</t>
  </si>
  <si>
    <t>E0545</t>
  </si>
  <si>
    <t>Employee 0545</t>
  </si>
  <si>
    <t>E0546</t>
  </si>
  <si>
    <t>Employee 0546</t>
  </si>
  <si>
    <t>E0547</t>
  </si>
  <si>
    <t>Employee 0547</t>
  </si>
  <si>
    <t>E0548</t>
  </si>
  <si>
    <t>Employee 0548</t>
  </si>
  <si>
    <t>E0549</t>
  </si>
  <si>
    <t>Employee 0549</t>
  </si>
  <si>
    <t>E0550</t>
  </si>
  <si>
    <t>Employee 0550</t>
  </si>
  <si>
    <t>E0551</t>
  </si>
  <si>
    <t>Employee 0551</t>
  </si>
  <si>
    <t>E0552</t>
  </si>
  <si>
    <t>Employee 0552</t>
  </si>
  <si>
    <t>E0553</t>
  </si>
  <si>
    <t>Employee 0553</t>
  </si>
  <si>
    <t>E0554</t>
  </si>
  <si>
    <t>Employee 0554</t>
  </si>
  <si>
    <t>E0555</t>
  </si>
  <si>
    <t>Employee 0555</t>
  </si>
  <si>
    <t>E0556</t>
  </si>
  <si>
    <t>Employee 0556</t>
  </si>
  <si>
    <t>E0557</t>
  </si>
  <si>
    <t>Employee 0557</t>
  </si>
  <si>
    <t>E0558</t>
  </si>
  <si>
    <t>Employee 0558</t>
  </si>
  <si>
    <t>E0559</t>
  </si>
  <si>
    <t>Employee 0559</t>
  </si>
  <si>
    <t>E0560</t>
  </si>
  <si>
    <t>Employee 0560</t>
  </si>
  <si>
    <t>E0561</t>
  </si>
  <si>
    <t>Employee 0561</t>
  </si>
  <si>
    <t>E0562</t>
  </si>
  <si>
    <t>Employee 0562</t>
  </si>
  <si>
    <t>E0563</t>
  </si>
  <si>
    <t>Employee 0563</t>
  </si>
  <si>
    <t>E0564</t>
  </si>
  <si>
    <t>Employee 0564</t>
  </si>
  <si>
    <t>E0565</t>
  </si>
  <si>
    <t>Employee 0565</t>
  </si>
  <si>
    <t>E0566</t>
  </si>
  <si>
    <t>Employee 0566</t>
  </si>
  <si>
    <t>E0567</t>
  </si>
  <si>
    <t>Employee 0567</t>
  </si>
  <si>
    <t>E0568</t>
  </si>
  <si>
    <t>Employee 0568</t>
  </si>
  <si>
    <t>E0569</t>
  </si>
  <si>
    <t>Employee 0569</t>
  </si>
  <si>
    <t>E0570</t>
  </si>
  <si>
    <t>Employee 0570</t>
  </si>
  <si>
    <t>E0571</t>
  </si>
  <si>
    <t>Employee 0571</t>
  </si>
  <si>
    <t>E0572</t>
  </si>
  <si>
    <t>Employee 0572</t>
  </si>
  <si>
    <t>E0573</t>
  </si>
  <si>
    <t>Employee 0573</t>
  </si>
  <si>
    <t>E0574</t>
  </si>
  <si>
    <t>Employee 0574</t>
  </si>
  <si>
    <t>E0575</t>
  </si>
  <si>
    <t>Employee 0575</t>
  </si>
  <si>
    <t>E0576</t>
  </si>
  <si>
    <t>Employee 0576</t>
  </si>
  <si>
    <t>E0577</t>
  </si>
  <si>
    <t>Employee 0577</t>
  </si>
  <si>
    <t>E0578</t>
  </si>
  <si>
    <t>Employee 0578</t>
  </si>
  <si>
    <t>E0579</t>
  </si>
  <si>
    <t>Employee 0579</t>
  </si>
  <si>
    <t>E0580</t>
  </si>
  <si>
    <t>Employee 0580</t>
  </si>
  <si>
    <t>E0581</t>
  </si>
  <si>
    <t>Employee 0581</t>
  </si>
  <si>
    <t>E0582</t>
  </si>
  <si>
    <t>Employee 0582</t>
  </si>
  <si>
    <t>E0583</t>
  </si>
  <si>
    <t>Employee 0583</t>
  </si>
  <si>
    <t>E0584</t>
  </si>
  <si>
    <t>Employee 0584</t>
  </si>
  <si>
    <t>E0585</t>
  </si>
  <si>
    <t>Employee 0585</t>
  </si>
  <si>
    <t>E0586</t>
  </si>
  <si>
    <t>Employee 0586</t>
  </si>
  <si>
    <t>E0587</t>
  </si>
  <si>
    <t>Employee 0587</t>
  </si>
  <si>
    <t>E0588</t>
  </si>
  <si>
    <t>Employee 0588</t>
  </si>
  <si>
    <t>E0589</t>
  </si>
  <si>
    <t>Employee 0589</t>
  </si>
  <si>
    <t>E0590</t>
  </si>
  <si>
    <t>Employee 0590</t>
  </si>
  <si>
    <t>E0591</t>
  </si>
  <si>
    <t>Employee 0591</t>
  </si>
  <si>
    <t>E0592</t>
  </si>
  <si>
    <t>Employee 0592</t>
  </si>
  <si>
    <t>E0593</t>
  </si>
  <si>
    <t>Employee 0593</t>
  </si>
  <si>
    <t>E0594</t>
  </si>
  <si>
    <t>Employee 0594</t>
  </si>
  <si>
    <t>E0595</t>
  </si>
  <si>
    <t>Employee 0595</t>
  </si>
  <si>
    <t>E0596</t>
  </si>
  <si>
    <t>Employee 0596</t>
  </si>
  <si>
    <t>E0597</t>
  </si>
  <si>
    <t>Employee 0597</t>
  </si>
  <si>
    <t>E0598</t>
  </si>
  <si>
    <t>Employee 0598</t>
  </si>
  <si>
    <t>E0599</t>
  </si>
  <si>
    <t>Employee 0599</t>
  </si>
  <si>
    <t>E0600</t>
  </si>
  <si>
    <t>Employee 0600</t>
  </si>
  <si>
    <t>E0601</t>
  </si>
  <si>
    <t>Employee 0601</t>
  </si>
  <si>
    <t>E0602</t>
  </si>
  <si>
    <t>Employee 0602</t>
  </si>
  <si>
    <t>E0603</t>
  </si>
  <si>
    <t>Employee 0603</t>
  </si>
  <si>
    <t>E0604</t>
  </si>
  <si>
    <t>Employee 0604</t>
  </si>
  <si>
    <t>E0605</t>
  </si>
  <si>
    <t>Employee 0605</t>
  </si>
  <si>
    <t>E0606</t>
  </si>
  <si>
    <t>Employee 0606</t>
  </si>
  <si>
    <t>E0607</t>
  </si>
  <si>
    <t>Employee 0607</t>
  </si>
  <si>
    <t>E0608</t>
  </si>
  <si>
    <t>Employee 0608</t>
  </si>
  <si>
    <t>E0609</t>
  </si>
  <si>
    <t>Employee 0609</t>
  </si>
  <si>
    <t>E0610</t>
  </si>
  <si>
    <t>Employee 0610</t>
  </si>
  <si>
    <t>E0611</t>
  </si>
  <si>
    <t>Employee 0611</t>
  </si>
  <si>
    <t>E0612</t>
  </si>
  <si>
    <t>Employee 0612</t>
  </si>
  <si>
    <t>E0613</t>
  </si>
  <si>
    <t>Employee 0613</t>
  </si>
  <si>
    <t>E0614</t>
  </si>
  <si>
    <t>Employee 0614</t>
  </si>
  <si>
    <t>E0615</t>
  </si>
  <si>
    <t>Employee 0615</t>
  </si>
  <si>
    <t>E0616</t>
  </si>
  <si>
    <t>Employee 0616</t>
  </si>
  <si>
    <t>E0617</t>
  </si>
  <si>
    <t>Employee 0617</t>
  </si>
  <si>
    <t>E0618</t>
  </si>
  <si>
    <t>Employee 0618</t>
  </si>
  <si>
    <t>E0619</t>
  </si>
  <si>
    <t>Employee 0619</t>
  </si>
  <si>
    <t>E0620</t>
  </si>
  <si>
    <t>Employee 0620</t>
  </si>
  <si>
    <t>E0621</t>
  </si>
  <si>
    <t>Employee 0621</t>
  </si>
  <si>
    <t>E0622</t>
  </si>
  <si>
    <t>Employee 0622</t>
  </si>
  <si>
    <t>E0623</t>
  </si>
  <si>
    <t>Employee 0623</t>
  </si>
  <si>
    <t>E0624</t>
  </si>
  <si>
    <t>Employee 0624</t>
  </si>
  <si>
    <t>E0625</t>
  </si>
  <si>
    <t>Employee 0625</t>
  </si>
  <si>
    <t>E0626</t>
  </si>
  <si>
    <t>Employee 0626</t>
  </si>
  <si>
    <t>E0627</t>
  </si>
  <si>
    <t>Employee 0627</t>
  </si>
  <si>
    <t>E0628</t>
  </si>
  <si>
    <t>Employee 0628</t>
  </si>
  <si>
    <t>E0629</t>
  </si>
  <si>
    <t>Employee 0629</t>
  </si>
  <si>
    <t>E0630</t>
  </si>
  <si>
    <t>Employee 0630</t>
  </si>
  <si>
    <t>E0631</t>
  </si>
  <si>
    <t>Employee 0631</t>
  </si>
  <si>
    <t>E0632</t>
  </si>
  <si>
    <t>Employee 0632</t>
  </si>
  <si>
    <t>E0633</t>
  </si>
  <si>
    <t>Employee 0633</t>
  </si>
  <si>
    <t>E0634</t>
  </si>
  <si>
    <t>Employee 0634</t>
  </si>
  <si>
    <t>E0635</t>
  </si>
  <si>
    <t>Employee 0635</t>
  </si>
  <si>
    <t>E0636</t>
  </si>
  <si>
    <t>Employee 0636</t>
  </si>
  <si>
    <t>E0637</t>
  </si>
  <si>
    <t>Employee 0637</t>
  </si>
  <si>
    <t>E0638</t>
  </si>
  <si>
    <t>Employee 0638</t>
  </si>
  <si>
    <t>E0639</t>
  </si>
  <si>
    <t>Employee 0639</t>
  </si>
  <si>
    <t>E0640</t>
  </si>
  <si>
    <t>Employee 0640</t>
  </si>
  <si>
    <t>E0641</t>
  </si>
  <si>
    <t>Employee 0641</t>
  </si>
  <si>
    <t>E0642</t>
  </si>
  <si>
    <t>Employee 0642</t>
  </si>
  <si>
    <t>E0643</t>
  </si>
  <si>
    <t>Employee 0643</t>
  </si>
  <si>
    <t>E0644</t>
  </si>
  <si>
    <t>Employee 0644</t>
  </si>
  <si>
    <t>E0645</t>
  </si>
  <si>
    <t>Employee 0645</t>
  </si>
  <si>
    <t>E0646</t>
  </si>
  <si>
    <t>Employee 0646</t>
  </si>
  <si>
    <t>E0647</t>
  </si>
  <si>
    <t>Employee 0647</t>
  </si>
  <si>
    <t>E0648</t>
  </si>
  <si>
    <t>Employee 0648</t>
  </si>
  <si>
    <t>E0649</t>
  </si>
  <si>
    <t>Employee 0649</t>
  </si>
  <si>
    <t>E0650</t>
  </si>
  <si>
    <t>Employee 0650</t>
  </si>
  <si>
    <t>Employee count</t>
  </si>
  <si>
    <t>Average of Monthly_Salary_INR</t>
  </si>
  <si>
    <t>Grand Total</t>
  </si>
  <si>
    <t>Count of Employee_ID</t>
  </si>
  <si>
    <t>Average of Job_Satisfaction_1to5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</si>
</sst>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0.0,&quot;K&quot;"/>
    <numFmt numFmtId="181" formatCode="0.0_ "/>
    <numFmt numFmtId="182" formatCode="[$-809]dd\ mmmm\ yyyy;@"/>
    <numFmt numFmtId="183" formatCode="&quot;₹&quot;#,##0.00_);[Red]\(&quot;₹&quot;#,##0.00\)"/>
    <numFmt numFmtId="184" formatCode="0.00_);[Red]\(0.00\)"/>
    <numFmt numFmtId="185" formatCode="dd/mmm/yyyy"/>
    <numFmt numFmtId="186" formatCode="&quot;₹&quot;#,##0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180" fontId="0" fillId="0" borderId="0" xfId="0" applyNumberFormat="1"/>
    <xf numFmtId="9" fontId="0" fillId="0" borderId="0" xfId="3" applyFont="1" applyAlignment="1"/>
    <xf numFmtId="181" fontId="0" fillId="0" borderId="0" xfId="0" applyNumberFormat="1"/>
    <xf numFmtId="49" fontId="1" fillId="2" borderId="0" xfId="0" applyNumberFormat="1" applyFont="1" applyFill="1" applyAlignment="1">
      <alignment vertical="center"/>
    </xf>
    <xf numFmtId="182" fontId="1" fillId="2" borderId="0" xfId="0" applyNumberFormat="1" applyFont="1" applyFill="1" applyAlignment="1">
      <alignment vertical="center"/>
    </xf>
    <xf numFmtId="183" fontId="1" fillId="2" borderId="0" xfId="0" applyNumberFormat="1" applyFont="1" applyFill="1" applyAlignment="1">
      <alignment vertical="center"/>
    </xf>
    <xf numFmtId="184" fontId="1" fillId="2" borderId="0" xfId="0" applyNumberFormat="1" applyFont="1" applyFill="1" applyAlignment="1">
      <alignment vertical="center"/>
    </xf>
    <xf numFmtId="185" fontId="0" fillId="0" borderId="0" xfId="0" applyNumberFormat="1"/>
    <xf numFmtId="186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87" formatCode="0.000000_ "/>
    </dxf>
    <dxf>
      <numFmt numFmtId="188" formatCode="0.0000000_ "/>
    </dxf>
    <dxf>
      <numFmt numFmtId="189" formatCode="0.00000000_ "/>
    </dxf>
    <dxf>
      <numFmt numFmtId="190" formatCode="0.0000000_ "/>
    </dxf>
    <dxf>
      <numFmt numFmtId="191" formatCode="0.000000_ "/>
    </dxf>
    <dxf>
      <numFmt numFmtId="192" formatCode="0.00000_ "/>
    </dxf>
    <dxf>
      <numFmt numFmtId="193" formatCode="0.0000_ "/>
    </dxf>
    <dxf>
      <numFmt numFmtId="194" formatCode="0.000_ "/>
    </dxf>
    <dxf>
      <numFmt numFmtId="195" formatCode="0.00_ "/>
    </dxf>
    <dxf>
      <numFmt numFmtId="180" formatCode="&quot;₹&quot;0.0,&quot;K&quot;"/>
    </dxf>
    <dxf>
      <numFmt numFmtId="180" formatCode="&quot;₹&quot;0.0,&quot;K&quot;"/>
    </dxf>
    <dxf>
      <numFmt numFmtId="196" formatCode="0.00000000_ "/>
    </dxf>
    <dxf>
      <numFmt numFmtId="197" formatCode="0.0000000_ "/>
    </dxf>
    <dxf>
      <numFmt numFmtId="198" formatCode="0.000000_ "/>
    </dxf>
    <dxf>
      <numFmt numFmtId="199" formatCode="0.00000_ "/>
    </dxf>
    <dxf>
      <numFmt numFmtId="200" formatCode="0.0000_ "/>
    </dxf>
    <dxf>
      <numFmt numFmtId="201" formatCode="0.000_ "/>
    </dxf>
    <dxf>
      <numFmt numFmtId="202" formatCode="0.00_ "/>
    </dxf>
    <dxf>
      <numFmt numFmtId="181" formatCode="0.0_ "/>
    </dxf>
    <dxf>
      <font>
        <name val="Cambria"/>
        <scheme val="none"/>
        <b val="1"/>
        <i val="0"/>
        <u val="none"/>
        <sz val="14"/>
        <color theme="0"/>
      </font>
    </dxf>
    <dxf>
      <font>
        <name val="Cambria"/>
        <scheme val="none"/>
        <b val="1"/>
        <i val="0"/>
        <u val="none"/>
        <sz val="14"/>
        <color theme="0"/>
      </font>
      <fill>
        <patternFill patternType="solid">
          <bgColor theme="1"/>
        </patternFill>
      </fill>
    </dxf>
    <dxf>
      <font>
        <name val="Cambria"/>
        <scheme val="none"/>
        <b val="1"/>
        <i val="0"/>
        <u val="none"/>
        <sz val="12"/>
        <color theme="1"/>
      </font>
      <fill>
        <patternFill patternType="solid">
          <bgColor theme="0"/>
        </patternFill>
      </fill>
    </dxf>
    <dxf>
      <font>
        <name val="Cambria"/>
        <scheme val="none"/>
        <b val="1"/>
        <i val="0"/>
        <u val="none"/>
        <sz val="14"/>
        <color theme="0"/>
      </font>
    </dxf>
    <dxf>
      <font>
        <name val="Cambria"/>
        <scheme val="none"/>
        <b val="1"/>
        <i val="0"/>
        <u val="none"/>
        <sz val="14"/>
        <color theme="0"/>
      </font>
      <fill>
        <patternFill patternType="solid">
          <bgColor theme="1"/>
        </patternFill>
      </fill>
    </dxf>
    <dxf>
      <font>
        <name val="Cambria"/>
        <scheme val="none"/>
        <b val="1"/>
        <i val="0"/>
        <u val="none"/>
        <sz val="12"/>
        <color theme="1"/>
      </font>
      <fill>
        <patternFill patternType="solid">
          <bgColor theme="0"/>
        </patternFill>
      </fill>
    </dxf>
    <dxf>
      <font>
        <name val="Cambria"/>
        <scheme val="none"/>
        <b val="1"/>
        <i val="0"/>
        <u val="none"/>
        <sz val="14"/>
        <color theme="0"/>
      </font>
    </dxf>
    <dxf>
      <font>
        <name val="Cambria"/>
        <scheme val="none"/>
        <b val="1"/>
        <i val="0"/>
        <u val="none"/>
        <sz val="14"/>
        <color theme="0"/>
      </font>
      <fill>
        <patternFill patternType="solid">
          <bgColor theme="1"/>
        </patternFill>
      </fill>
    </dxf>
    <dxf>
      <font>
        <name val="Cambria"/>
        <scheme val="none"/>
        <b val="1"/>
        <i val="0"/>
        <u val="none"/>
        <sz val="12"/>
        <color theme="1"/>
      </font>
      <fill>
        <patternFill patternType="solid">
          <bgColor theme="0"/>
        </patternFill>
      </fill>
    </dxf>
    <dxf>
      <font>
        <name val="Calibri"/>
        <scheme val="none"/>
        <b val="1"/>
        <i val="0"/>
        <u val="none"/>
        <sz val="10"/>
        <color auto="1"/>
      </font>
    </dxf>
    <dxf>
      <fill>
        <patternFill patternType="solid">
          <bgColor theme="6"/>
        </patternFill>
      </fill>
    </dxf>
  </dxfs>
  <tableStyles count="7" defaultTableStyle="TableStyleMedium9" defaultPivotStyle="PivotStyleLight16">
    <tableStyle name="Slicer Style 1" pivot="0" table="0" count="4" xr9:uid="{8FA9B99B-1889-43D1-A3C6-F36D304714FC}">
      <tableStyleElement type="wholeTable" dxfId="20"/>
      <tableStyleElement type="headerRow" dxfId="19"/>
    </tableStyle>
    <tableStyle name="Slicer Style 2" pivot="0" table="0" count="2" xr9:uid="{1E87B0C1-3A0D-469D-9D19-33291F23C6D9}">
      <tableStyleElement type="wholeTable" dxfId="21"/>
    </tableStyle>
    <tableStyle name="Slicer Style 1 2" pivot="0" table="0" count="4" xr9:uid="{A2971FFD-5DA1-4307-9CBE-54AFF3B98D5F}">
      <tableStyleElement type="wholeTable" dxfId="23"/>
      <tableStyleElement type="headerRow" dxfId="22"/>
    </tableStyle>
    <tableStyle name="Slicer Style 2 2" pivot="0" table="0" count="2" xr9:uid="{49587A0A-F62C-47F2-BC60-0D9C79E8F5D8}">
      <tableStyleElement type="wholeTable" dxfId="24"/>
    </tableStyle>
    <tableStyle name="Slicer Style 1 3" pivot="0" table="0" count="4" xr9:uid="{BD344009-5767-4985-9BAE-FA39BE8FD9E3}">
      <tableStyleElement type="wholeTable" dxfId="26"/>
      <tableStyleElement type="headerRow" dxfId="25"/>
    </tableStyle>
    <tableStyle name="Slicer Style 2 3" pivot="0" table="0" count="2" xr9:uid="{40BB6D9A-71FA-4C42-A012-C9F754ED7664}">
      <tableStyleElement type="wholeTable" dxfId="27"/>
    </tableStyle>
    <tableStyle name="Slicer Style 3" pivot="0" table="0" count="5" xr9:uid="{722E6F06-A85F-4757-B218-276500D86F3C}">
      <tableStyleElement type="wholeTable" dxfId="29"/>
      <tableStyleElement type="headerRow" dxfId="28"/>
    </tableStyle>
  </tableStyles>
  <colors>
    <mruColors>
      <color rgb="004D4D4D"/>
    </mruColors>
  </colors>
  <extLst>
    <ext xmlns:x14="http://schemas.microsoft.com/office/spreadsheetml/2009/9/main" uri="{46F421CA-312F-682f-3DD2-61675219B42D}">
      <x14:dxfs count="12">
        <dxf>
          <font>
            <name val="Calibri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 tint="-0.149967955565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theme="1"/>
            </pattern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patternFill patternType="solid">
              <bgColor theme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 tint="-0.149967955565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theme="1"/>
            </pattern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patternFill patternType="solid">
              <bgColor theme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 tint="-0.149967955565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theme="1"/>
            </pattern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patternFill patternType="solid">
              <bgColor theme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theme="6" tint="-0.2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Dark3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  <x14:slicerStyle name="Slicer Style 2">
          <x14:slicerStyleElements>
            <x14:slicerStyleElement type="selectedItemWithData" dxfId="2"/>
          </x14:slicerStyleElements>
        </x14:slicerStyle>
        <x14:slicerStyle name="Slicer Style 1 2">
          <x14:slicerStyleElements>
            <x14:slicerStyleElement type="unselectedItemWithData" dxfId="4"/>
            <x14:slicerStyleElement type="selectedItemWithData" dxfId="3"/>
          </x14:slicerStyleElements>
        </x14:slicerStyle>
        <x14:slicerStyle name="Slicer Style 2 2">
          <x14:slicerStyleElements>
            <x14:slicerStyleElement type="selectedItemWithData" dxfId="5"/>
          </x14:slicerStyleElements>
        </x14:slicerStyle>
        <x14:slicerStyle name="Slicer Style 1 3">
          <x14:slicerStyleElements>
            <x14:slicerStyleElement type="unselectedItemWithData" dxfId="7"/>
            <x14:slicerStyleElement type="selectedItemWithData" dxfId="6"/>
          </x14:slicerStyleElements>
        </x14:slicerStyle>
        <x14:slicerStyle name="Slicer Style 2 3">
          <x14:slicerStyleElements>
            <x14:slicerStyleElement type="selectedItemWithData" dxfId="8"/>
          </x14:slicerStyleElements>
        </x14:slicerStyle>
        <x14:slicerStyle name="Slicer Style 3">
          <x14:slicerStyleElements>
            <x14:slicerStyleElement type="unselectedItemWithData" dxfId="11"/>
            <x14:slicerStyleElement type="selectedItemWithData" dxfId="10"/>
            <x14:slicerStyleElement type="selectedItemWithNoData" dxfId="9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[Clean_HR_Analytics_Data.xlsx]Analysis!PivotTable3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85905061160364"/>
          <c:y val="0.0554347826086957"/>
          <c:w val="0.754056783750421"/>
          <c:h val="0.7793478260869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Pt>
            <c:idx val="3"/>
            <c:invertIfNegative val="0"/>
            <c:bubble3D val="0"/>
          </c:dPt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Analysis!$E$4:$E$11</c:f>
              <c:numCache>
                <c:formatCode>"₹"0.0,"K"</c:formatCode>
                <c:ptCount val="7"/>
                <c:pt idx="0">
                  <c:v>32584.6153846154</c:v>
                </c:pt>
                <c:pt idx="1">
                  <c:v>43675</c:v>
                </c:pt>
                <c:pt idx="2">
                  <c:v>37797.619047619</c:v>
                </c:pt>
                <c:pt idx="3">
                  <c:v>58417.4757281553</c:v>
                </c:pt>
                <c:pt idx="4">
                  <c:v>41355.3846153846</c:v>
                </c:pt>
                <c:pt idx="5">
                  <c:v>34186.9565217391</c:v>
                </c:pt>
                <c:pt idx="6">
                  <c:v>37210.6557377049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2"/>
        <c:overlap val="-40"/>
        <c:axId val="665772676"/>
        <c:axId val="238749359"/>
      </c:barChart>
      <c:catAx>
        <c:axId val="6657726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749359"/>
        <c:crosses val="autoZero"/>
        <c:auto val="1"/>
        <c:lblAlgn val="ctr"/>
        <c:lblOffset val="100"/>
        <c:noMultiLvlLbl val="0"/>
      </c:catAx>
      <c:valAx>
        <c:axId val="238749359"/>
        <c:scaling>
          <c:orientation val="minMax"/>
        </c:scaling>
        <c:delete val="1"/>
        <c:axPos val="b"/>
        <c:numFmt formatCode="0.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726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def517-ebf6-49f5-adc2-1d0d94c7a41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[Clean_HR_Analytics_Data.xlsx]Analysis!PivotTable1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3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3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76667"/>
                      </a:schemeClr>
                    </a:gs>
                    <a:gs pos="100000">
                      <a:schemeClr val="accent3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3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76667"/>
                      </a:schemeClr>
                    </a:gs>
                    <a:gs pos="100000">
                      <a:schemeClr val="accent3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174257828385523"/>
                  <c:y val="0.07977621218400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843838958926393"/>
                  <c:y val="-0.136137588064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Analysis!$A$4:$A$6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Analysis!$B$4:$B$6</c:f>
              <c:numCache>
                <c:formatCode>General</c:formatCode>
                <c:ptCount val="2"/>
                <c:pt idx="0">
                  <c:v>519</c:v>
                </c:pt>
                <c:pt idx="1">
                  <c:v>131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1c9a40-7a75-4d0d-a903-8598cd1063b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[Clean_HR_Analytics_Data.xlsx]Analysis!PivotTable2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Analysis!$A$9:$A$16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Analysis!$B$9:$B$16</c:f>
              <c:numCache>
                <c:formatCode>General</c:formatCode>
                <c:ptCount val="7"/>
                <c:pt idx="0">
                  <c:v>104</c:v>
                </c:pt>
                <c:pt idx="1">
                  <c:v>76</c:v>
                </c:pt>
                <c:pt idx="2">
                  <c:v>42</c:v>
                </c:pt>
                <c:pt idx="3">
                  <c:v>103</c:v>
                </c:pt>
                <c:pt idx="4">
                  <c:v>65</c:v>
                </c:pt>
                <c:pt idx="5">
                  <c:v>138</c:v>
                </c:pt>
                <c:pt idx="6">
                  <c:v>122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2"/>
        <c:overlap val="-40"/>
        <c:axId val="153838988"/>
        <c:axId val="894636436"/>
      </c:barChart>
      <c:catAx>
        <c:axId val="1538389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636436"/>
        <c:crosses val="autoZero"/>
        <c:auto val="1"/>
        <c:lblAlgn val="ctr"/>
        <c:lblOffset val="100"/>
        <c:noMultiLvlLbl val="0"/>
      </c:catAx>
      <c:valAx>
        <c:axId val="8946364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8389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8d24804-2ab5-4c43-9f57-f067de53b0d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[Clean_HR_Analytics_Data.xlsx]Analysis!PivotTable4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Analysis!$D$14:$D$21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Analysis!$E$14:$E$21</c:f>
              <c:numCache>
                <c:formatCode>0.0_ </c:formatCode>
                <c:ptCount val="7"/>
                <c:pt idx="0">
                  <c:v>3.52884615384615</c:v>
                </c:pt>
                <c:pt idx="1">
                  <c:v>3.60526315789474</c:v>
                </c:pt>
                <c:pt idx="2">
                  <c:v>3.42857142857143</c:v>
                </c:pt>
                <c:pt idx="3">
                  <c:v>3.56310679611651</c:v>
                </c:pt>
                <c:pt idx="4">
                  <c:v>3.38461538461538</c:v>
                </c:pt>
                <c:pt idx="5">
                  <c:v>3.58695652173913</c:v>
                </c:pt>
                <c:pt idx="6">
                  <c:v>3.63114754098361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4"/>
        <c:overlap val="-32"/>
        <c:axId val="346841637"/>
        <c:axId val="440000855"/>
      </c:barChart>
      <c:catAx>
        <c:axId val="346841637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000855"/>
        <c:crosses val="autoZero"/>
        <c:auto val="1"/>
        <c:lblAlgn val="ctr"/>
        <c:lblOffset val="100"/>
        <c:noMultiLvlLbl val="1"/>
      </c:catAx>
      <c:valAx>
        <c:axId val="440000855"/>
        <c:scaling>
          <c:orientation val="minMax"/>
        </c:scaling>
        <c:delete val="1"/>
        <c:axPos val="r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8416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7b328e-8850-4d66-8960-ce30107016a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[Clean_HR_Analytics_Data.xlsx]Analysis!PivotTable5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gradFill>
                  <a:gsLst>
                    <a:gs pos="0">
                      <a:schemeClr val="accent3">
                        <a:tint val="76667"/>
                      </a:schemeClr>
                    </a:gs>
                    <a:gs pos="100000">
                      <a:schemeClr val="accent3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>
                <a:gradFill>
                  <a:gsLst>
                    <a:gs pos="0">
                      <a:schemeClr val="accent3">
                        <a:shade val="76667"/>
                      </a:schemeClr>
                    </a:gs>
                    <a:gs pos="100000">
                      <a:schemeClr val="accent3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146999419422549"/>
                  <c:y val="0.0895409807563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1543331174776"/>
                  <c:y val="-0.09920362313309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Analysis!$B$19:$B$21</c:f>
              <c:numCache>
                <c:formatCode>General</c:formatCode>
                <c:ptCount val="2"/>
                <c:pt idx="0">
                  <c:v>485</c:v>
                </c:pt>
                <c:pt idx="1">
                  <c:v>165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d7dfd4-0319-4169-bd1c-48ccca5802d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Employee_Data!A1"/><Relationship Id="rId7" Type="http://schemas.openxmlformats.org/officeDocument/2006/relationships/hyperlink" Target="#Analysis!A1"/><Relationship Id="rId6" Type="http://schemas.openxmlformats.org/officeDocument/2006/relationships/hyperlink" Target="#Dashboard!A1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353695</xdr:colOff>
      <xdr:row>4</xdr:row>
      <xdr:rowOff>75565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5995650" y="368300"/>
          <a:ext cx="1610995" cy="44386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Dashboard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6350</xdr:colOff>
      <xdr:row>1</xdr:row>
      <xdr:rowOff>133350</xdr:rowOff>
    </xdr:from>
    <xdr:to>
      <xdr:col>8</xdr:col>
      <xdr:colOff>398145</xdr:colOff>
      <xdr:row>4</xdr:row>
      <xdr:rowOff>24765</xdr:rowOff>
    </xdr:to>
    <xdr:sp>
      <xdr:nvSpPr>
        <xdr:cNvPr id="8" name="Rounded Rectangle 7">
          <a:hlinkClick xmlns:r="http://schemas.openxmlformats.org/officeDocument/2006/relationships" r:id="rId1"/>
        </xdr:cNvPr>
        <xdr:cNvSpPr/>
      </xdr:nvSpPr>
      <xdr:spPr>
        <a:xfrm>
          <a:off x="6997700" y="317500"/>
          <a:ext cx="2988945" cy="44386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Dashboard</a:t>
          </a:r>
          <a:endParaRPr lang="en-US" sz="1400" b="1"/>
        </a:p>
      </xdr:txBody>
    </xdr:sp>
    <xdr:clientData/>
  </xdr:twoCellAnchor>
  <xdr:oneCellAnchor>
    <xdr:from>
      <xdr:col>6</xdr:col>
      <xdr:colOff>114300</xdr:colOff>
      <xdr:row>10</xdr:row>
      <xdr:rowOff>139700</xdr:rowOff>
    </xdr:from>
    <xdr:ext cx="1586865" cy="306070"/>
    <xdr:sp>
      <xdr:nvSpPr>
        <xdr:cNvPr id="14" name="Text Box 13"/>
        <xdr:cNvSpPr txBox="1"/>
      </xdr:nvSpPr>
      <xdr:spPr>
        <a:xfrm>
          <a:off x="7105650" y="1981200"/>
          <a:ext cx="1586865" cy="3060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37465</xdr:colOff>
      <xdr:row>1</xdr:row>
      <xdr:rowOff>19050</xdr:rowOff>
    </xdr:from>
    <xdr:to>
      <xdr:col>24</xdr:col>
      <xdr:colOff>49530</xdr:colOff>
      <xdr:row>43</xdr:row>
      <xdr:rowOff>147320</xdr:rowOff>
    </xdr:to>
    <xdr:sp>
      <xdr:nvSpPr>
        <xdr:cNvPr id="2" name="Rectangle 1"/>
        <xdr:cNvSpPr/>
      </xdr:nvSpPr>
      <xdr:spPr>
        <a:xfrm>
          <a:off x="1256665" y="203200"/>
          <a:ext cx="13423265" cy="794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accent3">
              <a:lumMod val="50000"/>
            </a:schemeClr>
          </a:solidFill>
        </a:ln>
        <a:effectLst>
          <a:glow rad="127000">
            <a:schemeClr val="bg1">
              <a:lumMod val="95000"/>
            </a:schemeClr>
          </a:glo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 b="1"/>
        </a:p>
      </xdr:txBody>
    </xdr:sp>
    <xdr:clientData/>
  </xdr:twoCellAnchor>
  <xdr:twoCellAnchor>
    <xdr:from>
      <xdr:col>2</xdr:col>
      <xdr:colOff>100330</xdr:colOff>
      <xdr:row>1</xdr:row>
      <xdr:rowOff>41275</xdr:rowOff>
    </xdr:from>
    <xdr:to>
      <xdr:col>5</xdr:col>
      <xdr:colOff>194945</xdr:colOff>
      <xdr:row>43</xdr:row>
      <xdr:rowOff>90805</xdr:rowOff>
    </xdr:to>
    <xdr:sp>
      <xdr:nvSpPr>
        <xdr:cNvPr id="3" name="Rounded Rectangle 2"/>
        <xdr:cNvSpPr/>
      </xdr:nvSpPr>
      <xdr:spPr>
        <a:xfrm>
          <a:off x="1319530" y="225425"/>
          <a:ext cx="1923415" cy="7866380"/>
        </a:xfrm>
        <a:prstGeom prst="roundRect">
          <a:avLst>
            <a:gd name="adj" fmla="val 0"/>
          </a:avLst>
        </a:prstGeom>
        <a:gradFill>
          <a:gsLst>
            <a:gs pos="0">
              <a:schemeClr val="accent3"/>
            </a:gs>
            <a:gs pos="100000">
              <a:schemeClr val="accent3">
                <a:lumMod val="25000"/>
                <a:lumOff val="75000"/>
              </a:schemeClr>
            </a:gs>
            <a:gs pos="80000">
              <a:schemeClr val="accent3">
                <a:lumMod val="8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516255</xdr:colOff>
      <xdr:row>6</xdr:row>
      <xdr:rowOff>48895</xdr:rowOff>
    </xdr:from>
    <xdr:to>
      <xdr:col>9</xdr:col>
      <xdr:colOff>60325</xdr:colOff>
      <xdr:row>11</xdr:row>
      <xdr:rowOff>109220</xdr:rowOff>
    </xdr:to>
    <xdr:sp>
      <xdr:nvSpPr>
        <xdr:cNvPr id="4" name="Rounded Rectangle 3"/>
        <xdr:cNvSpPr/>
      </xdr:nvSpPr>
      <xdr:spPr>
        <a:xfrm>
          <a:off x="3564255" y="1153795"/>
          <a:ext cx="1982470" cy="10636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400" b="1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326390</xdr:colOff>
      <xdr:row>6</xdr:row>
      <xdr:rowOff>40640</xdr:rowOff>
    </xdr:from>
    <xdr:to>
      <xdr:col>12</xdr:col>
      <xdr:colOff>480695</xdr:colOff>
      <xdr:row>11</xdr:row>
      <xdr:rowOff>122555</xdr:rowOff>
    </xdr:to>
    <xdr:sp>
      <xdr:nvSpPr>
        <xdr:cNvPr id="5" name="Rounded Rectangle 4"/>
        <xdr:cNvSpPr/>
      </xdr:nvSpPr>
      <xdr:spPr>
        <a:xfrm>
          <a:off x="5812790" y="1145540"/>
          <a:ext cx="1983105" cy="108521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125095</xdr:colOff>
      <xdr:row>6</xdr:row>
      <xdr:rowOff>34925</xdr:rowOff>
    </xdr:from>
    <xdr:to>
      <xdr:col>16</xdr:col>
      <xdr:colOff>279400</xdr:colOff>
      <xdr:row>11</xdr:row>
      <xdr:rowOff>108585</xdr:rowOff>
    </xdr:to>
    <xdr:sp>
      <xdr:nvSpPr>
        <xdr:cNvPr id="6" name="Rounded Rectangle 5"/>
        <xdr:cNvSpPr/>
      </xdr:nvSpPr>
      <xdr:spPr>
        <a:xfrm>
          <a:off x="8049895" y="1139825"/>
          <a:ext cx="1983105" cy="1076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512445</xdr:colOff>
      <xdr:row>6</xdr:row>
      <xdr:rowOff>26670</xdr:rowOff>
    </xdr:from>
    <xdr:to>
      <xdr:col>20</xdr:col>
      <xdr:colOff>57150</xdr:colOff>
      <xdr:row>11</xdr:row>
      <xdr:rowOff>92710</xdr:rowOff>
    </xdr:to>
    <xdr:sp>
      <xdr:nvSpPr>
        <xdr:cNvPr id="7" name="Rounded Rectangle 6"/>
        <xdr:cNvSpPr/>
      </xdr:nvSpPr>
      <xdr:spPr>
        <a:xfrm>
          <a:off x="10266045" y="1131570"/>
          <a:ext cx="1983105" cy="106934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281305</xdr:colOff>
      <xdr:row>6</xdr:row>
      <xdr:rowOff>26670</xdr:rowOff>
    </xdr:from>
    <xdr:to>
      <xdr:col>23</xdr:col>
      <xdr:colOff>435610</xdr:colOff>
      <xdr:row>11</xdr:row>
      <xdr:rowOff>78105</xdr:rowOff>
    </xdr:to>
    <xdr:sp>
      <xdr:nvSpPr>
        <xdr:cNvPr id="8" name="Rounded Rectangle 7"/>
        <xdr:cNvSpPr/>
      </xdr:nvSpPr>
      <xdr:spPr>
        <a:xfrm>
          <a:off x="12473305" y="1131570"/>
          <a:ext cx="1983105" cy="105473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181610</xdr:colOff>
      <xdr:row>25</xdr:row>
      <xdr:rowOff>109220</xdr:rowOff>
    </xdr:from>
    <xdr:to>
      <xdr:col>23</xdr:col>
      <xdr:colOff>428625</xdr:colOff>
      <xdr:row>43</xdr:row>
      <xdr:rowOff>41910</xdr:rowOff>
    </xdr:to>
    <xdr:sp>
      <xdr:nvSpPr>
        <xdr:cNvPr id="11" name="Rounded Rectangle 10"/>
        <xdr:cNvSpPr/>
      </xdr:nvSpPr>
      <xdr:spPr>
        <a:xfrm>
          <a:off x="11154410" y="4795520"/>
          <a:ext cx="3295015" cy="3247390"/>
        </a:xfrm>
        <a:prstGeom prst="roundRect">
          <a:avLst>
            <a:gd name="adj" fmla="val 7786"/>
          </a:avLst>
        </a:prstGeom>
        <a:gradFill>
          <a:gsLst>
            <a:gs pos="0">
              <a:schemeClr val="accent3"/>
            </a:gs>
            <a:gs pos="98000">
              <a:schemeClr val="accent3">
                <a:lumMod val="25000"/>
                <a:lumOff val="75000"/>
              </a:schemeClr>
            </a:gs>
            <a:gs pos="100000">
              <a:srgbClr val="92D05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536575</xdr:colOff>
      <xdr:row>12</xdr:row>
      <xdr:rowOff>61595</xdr:rowOff>
    </xdr:from>
    <xdr:to>
      <xdr:col>15</xdr:col>
      <xdr:colOff>166370</xdr:colOff>
      <xdr:row>24</xdr:row>
      <xdr:rowOff>174625</xdr:rowOff>
    </xdr:to>
    <xdr:grpSp>
      <xdr:nvGrpSpPr>
        <xdr:cNvPr id="50" name="Group 49"/>
        <xdr:cNvGrpSpPr/>
      </xdr:nvGrpSpPr>
      <xdr:grpSpPr>
        <a:xfrm>
          <a:off x="3584575" y="2353945"/>
          <a:ext cx="5725795" cy="2322830"/>
          <a:chOff x="5617" y="3926"/>
          <a:chExt cx="8976" cy="3533"/>
        </a:xfrm>
      </xdr:grpSpPr>
      <xdr:sp>
        <xdr:nvSpPr>
          <xdr:cNvPr id="9" name="Rounded Rectangle 8"/>
          <xdr:cNvSpPr/>
        </xdr:nvSpPr>
        <xdr:spPr>
          <a:xfrm>
            <a:off x="5617" y="3926"/>
            <a:ext cx="8976" cy="3408"/>
          </a:xfrm>
          <a:prstGeom prst="roundRect">
            <a:avLst>
              <a:gd name="adj" fmla="val 778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12" name="Chart 11"/>
          <xdr:cNvGraphicFramePr/>
        </xdr:nvGraphicFramePr>
        <xdr:xfrm>
          <a:off x="5617" y="4493"/>
          <a:ext cx="8893" cy="29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13" name="Text Box 12"/>
          <xdr:cNvSpPr txBox="1"/>
        </xdr:nvSpPr>
        <xdr:spPr>
          <a:xfrm>
            <a:off x="5892" y="3996"/>
            <a:ext cx="7191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Average Monthly Salary by Department</a:t>
            </a:r>
            <a:endParaRPr lang="en-US" sz="1200" b="1"/>
          </a:p>
        </xdr:txBody>
      </xdr:sp>
    </xdr:grpSp>
    <xdr:clientData/>
  </xdr:twoCellAnchor>
  <xdr:twoCellAnchor>
    <xdr:from>
      <xdr:col>5</xdr:col>
      <xdr:colOff>485775</xdr:colOff>
      <xdr:row>25</xdr:row>
      <xdr:rowOff>114300</xdr:rowOff>
    </xdr:from>
    <xdr:to>
      <xdr:col>10</xdr:col>
      <xdr:colOff>579755</xdr:colOff>
      <xdr:row>43</xdr:row>
      <xdr:rowOff>43815</xdr:rowOff>
    </xdr:to>
    <xdr:grpSp>
      <xdr:nvGrpSpPr>
        <xdr:cNvPr id="14" name="Group 13"/>
        <xdr:cNvGrpSpPr/>
      </xdr:nvGrpSpPr>
      <xdr:grpSpPr>
        <a:xfrm>
          <a:off x="3533775" y="4800600"/>
          <a:ext cx="3141980" cy="3244215"/>
          <a:chOff x="12394" y="7502"/>
          <a:chExt cx="4970" cy="5124"/>
        </a:xfrm>
      </xdr:grpSpPr>
      <xdr:sp>
        <xdr:nvSpPr>
          <xdr:cNvPr id="15" name="Rounded Rectangle 14"/>
          <xdr:cNvSpPr/>
        </xdr:nvSpPr>
        <xdr:spPr>
          <a:xfrm>
            <a:off x="12394" y="7502"/>
            <a:ext cx="4970" cy="5125"/>
          </a:xfrm>
          <a:prstGeom prst="roundRect">
            <a:avLst>
              <a:gd name="adj" fmla="val 778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16" name="Chart 15"/>
          <xdr:cNvGraphicFramePr/>
        </xdr:nvGraphicFramePr>
        <xdr:xfrm>
          <a:off x="12513" y="8306"/>
          <a:ext cx="4672" cy="42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>
        <xdr:nvSpPr>
          <xdr:cNvPr id="17" name="Text Box 16"/>
          <xdr:cNvSpPr txBox="1"/>
        </xdr:nvSpPr>
        <xdr:spPr>
          <a:xfrm>
            <a:off x="12569" y="7596"/>
            <a:ext cx="4681" cy="463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Employee Employment Status</a:t>
            </a:r>
            <a:endParaRPr lang="en-US" sz="1200" b="1"/>
          </a:p>
        </xdr:txBody>
      </xdr:sp>
    </xdr:grpSp>
    <xdr:clientData/>
  </xdr:twoCellAnchor>
  <xdr:twoCellAnchor>
    <xdr:from>
      <xdr:col>15</xdr:col>
      <xdr:colOff>365125</xdr:colOff>
      <xdr:row>12</xdr:row>
      <xdr:rowOff>41910</xdr:rowOff>
    </xdr:from>
    <xdr:to>
      <xdr:col>23</xdr:col>
      <xdr:colOff>429260</xdr:colOff>
      <xdr:row>24</xdr:row>
      <xdr:rowOff>80645</xdr:rowOff>
    </xdr:to>
    <xdr:grpSp>
      <xdr:nvGrpSpPr>
        <xdr:cNvPr id="49" name="Group 48"/>
        <xdr:cNvGrpSpPr/>
      </xdr:nvGrpSpPr>
      <xdr:grpSpPr>
        <a:xfrm>
          <a:off x="9509125" y="2334260"/>
          <a:ext cx="4940935" cy="2248535"/>
          <a:chOff x="14905" y="3924"/>
          <a:chExt cx="7748" cy="3386"/>
        </a:xfrm>
      </xdr:grpSpPr>
      <xdr:sp>
        <xdr:nvSpPr>
          <xdr:cNvPr id="10" name="Rounded Rectangle 9"/>
          <xdr:cNvSpPr/>
        </xdr:nvSpPr>
        <xdr:spPr>
          <a:xfrm>
            <a:off x="14911" y="3924"/>
            <a:ext cx="7742" cy="3387"/>
          </a:xfrm>
          <a:prstGeom prst="roundRect">
            <a:avLst>
              <a:gd name="adj" fmla="val 778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18" name="Chart 17"/>
          <xdr:cNvGraphicFramePr/>
        </xdr:nvGraphicFramePr>
        <xdr:xfrm>
          <a:off x="14905" y="4437"/>
          <a:ext cx="7652" cy="28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19" name="Text Box 18"/>
          <xdr:cNvSpPr txBox="1"/>
        </xdr:nvSpPr>
        <xdr:spPr>
          <a:xfrm>
            <a:off x="15094" y="3995"/>
            <a:ext cx="7187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Employee Count by Department</a:t>
            </a:r>
            <a:endParaRPr lang="en-US" sz="1200" b="1"/>
          </a:p>
        </xdr:txBody>
      </xdr:sp>
    </xdr:grpSp>
    <xdr:clientData/>
  </xdr:twoCellAnchor>
  <xdr:twoCellAnchor>
    <xdr:from>
      <xdr:col>11</xdr:col>
      <xdr:colOff>113030</xdr:colOff>
      <xdr:row>25</xdr:row>
      <xdr:rowOff>107315</xdr:rowOff>
    </xdr:from>
    <xdr:to>
      <xdr:col>18</xdr:col>
      <xdr:colOff>13970</xdr:colOff>
      <xdr:row>43</xdr:row>
      <xdr:rowOff>54610</xdr:rowOff>
    </xdr:to>
    <xdr:grpSp>
      <xdr:nvGrpSpPr>
        <xdr:cNvPr id="20" name="Group 19"/>
        <xdr:cNvGrpSpPr/>
      </xdr:nvGrpSpPr>
      <xdr:grpSpPr>
        <a:xfrm>
          <a:off x="6818630" y="4793615"/>
          <a:ext cx="4168140" cy="3261995"/>
          <a:chOff x="5410" y="7533"/>
          <a:chExt cx="6714" cy="5247"/>
        </a:xfrm>
      </xdr:grpSpPr>
      <xdr:sp>
        <xdr:nvSpPr>
          <xdr:cNvPr id="21" name="Rounded Rectangle 20"/>
          <xdr:cNvSpPr/>
        </xdr:nvSpPr>
        <xdr:spPr>
          <a:xfrm>
            <a:off x="5410" y="7533"/>
            <a:ext cx="6714" cy="5109"/>
          </a:xfrm>
          <a:prstGeom prst="roundRect">
            <a:avLst>
              <a:gd name="adj" fmla="val 778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22" name="Chart 21"/>
          <xdr:cNvGraphicFramePr/>
        </xdr:nvGraphicFramePr>
        <xdr:xfrm>
          <a:off x="5652" y="8241"/>
          <a:ext cx="6420" cy="4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>
        <xdr:nvSpPr>
          <xdr:cNvPr id="23" name="Text Box 22"/>
          <xdr:cNvSpPr txBox="1"/>
        </xdr:nvSpPr>
        <xdr:spPr>
          <a:xfrm>
            <a:off x="5589" y="7625"/>
            <a:ext cx="6415" cy="50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/>
              <a:t>Job Satisfaction by Department</a:t>
            </a:r>
            <a:endParaRPr lang="en-US" sz="1200" b="1"/>
          </a:p>
        </xdr:txBody>
      </xdr:sp>
    </xdr:grpSp>
    <xdr:clientData/>
  </xdr:twoCellAnchor>
  <xdr:twoCellAnchor>
    <xdr:from>
      <xdr:col>18</xdr:col>
      <xdr:colOff>363220</xdr:colOff>
      <xdr:row>27</xdr:row>
      <xdr:rowOff>92075</xdr:rowOff>
    </xdr:from>
    <xdr:to>
      <xdr:col>23</xdr:col>
      <xdr:colOff>290830</xdr:colOff>
      <xdr:row>42</xdr:row>
      <xdr:rowOff>73025</xdr:rowOff>
    </xdr:to>
    <xdr:graphicFrame>
      <xdr:nvGraphicFramePr>
        <xdr:cNvPr id="24" name="Chart 23"/>
        <xdr:cNvGraphicFramePr/>
      </xdr:nvGraphicFramePr>
      <xdr:xfrm>
        <a:off x="11336020" y="5146675"/>
        <a:ext cx="29756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295910</xdr:colOff>
      <xdr:row>25</xdr:row>
      <xdr:rowOff>158115</xdr:rowOff>
    </xdr:from>
    <xdr:to>
      <xdr:col>23</xdr:col>
      <xdr:colOff>210820</xdr:colOff>
      <xdr:row>27</xdr:row>
      <xdr:rowOff>82550</xdr:rowOff>
    </xdr:to>
    <xdr:sp>
      <xdr:nvSpPr>
        <xdr:cNvPr id="25" name="Text Box 24"/>
        <xdr:cNvSpPr txBox="1"/>
      </xdr:nvSpPr>
      <xdr:spPr>
        <a:xfrm>
          <a:off x="11268710" y="4844415"/>
          <a:ext cx="2962910" cy="2927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bg1"/>
              </a:solidFill>
            </a:rPr>
            <a:t>Employee Overtime Distribution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196850</xdr:colOff>
      <xdr:row>1</xdr:row>
      <xdr:rowOff>36195</xdr:rowOff>
    </xdr:from>
    <xdr:to>
      <xdr:col>24</xdr:col>
      <xdr:colOff>44450</xdr:colOff>
      <xdr:row>5</xdr:row>
      <xdr:rowOff>133350</xdr:rowOff>
    </xdr:to>
    <xdr:sp>
      <xdr:nvSpPr>
        <xdr:cNvPr id="26" name="Rectangle 25"/>
        <xdr:cNvSpPr/>
      </xdr:nvSpPr>
      <xdr:spPr>
        <a:xfrm>
          <a:off x="3244850" y="220345"/>
          <a:ext cx="11430000" cy="8337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296545</xdr:colOff>
      <xdr:row>2</xdr:row>
      <xdr:rowOff>14605</xdr:rowOff>
    </xdr:from>
    <xdr:to>
      <xdr:col>16</xdr:col>
      <xdr:colOff>250190</xdr:colOff>
      <xdr:row>4</xdr:row>
      <xdr:rowOff>167640</xdr:rowOff>
    </xdr:to>
    <xdr:sp>
      <xdr:nvSpPr>
        <xdr:cNvPr id="27" name="Text Box 26"/>
        <xdr:cNvSpPr txBox="1"/>
      </xdr:nvSpPr>
      <xdr:spPr>
        <a:xfrm>
          <a:off x="3344545" y="382905"/>
          <a:ext cx="6659245" cy="5213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200" b="1">
              <a:solidFill>
                <a:schemeClr val="accent3"/>
              </a:solidFill>
              <a:effectLst/>
            </a:rPr>
            <a:t>     HR ANALYTICS DASHBOARD     </a:t>
          </a:r>
          <a:r>
            <a:rPr lang="en-US" sz="1800" b="1">
              <a:solidFill>
                <a:schemeClr val="accent3"/>
              </a:solidFill>
              <a:effectLst/>
            </a:rPr>
            <a:t> </a:t>
          </a:r>
          <a:endParaRPr lang="en-US" sz="1800" b="1">
            <a:solidFill>
              <a:schemeClr val="accent3"/>
            </a:solidFill>
            <a:effectLst/>
          </a:endParaRPr>
        </a:p>
      </xdr:txBody>
    </xdr:sp>
    <xdr:clientData/>
  </xdr:twoCellAnchor>
  <xdr:twoCellAnchor>
    <xdr:from>
      <xdr:col>2</xdr:col>
      <xdr:colOff>203200</xdr:colOff>
      <xdr:row>8</xdr:row>
      <xdr:rowOff>58420</xdr:rowOff>
    </xdr:from>
    <xdr:to>
      <xdr:col>5</xdr:col>
      <xdr:colOff>50165</xdr:colOff>
      <xdr:row>8</xdr:row>
      <xdr:rowOff>58420</xdr:rowOff>
    </xdr:to>
    <xdr:cxnSp>
      <xdr:nvCxnSpPr>
        <xdr:cNvPr id="28" name="Straight Connector 27"/>
        <xdr:cNvCxnSpPr/>
      </xdr:nvCxnSpPr>
      <xdr:spPr>
        <a:xfrm>
          <a:off x="1422400" y="1614170"/>
          <a:ext cx="1675765" cy="0"/>
        </a:xfrm>
        <a:prstGeom prst="line">
          <a:avLst/>
        </a:prstGeom>
        <a:ln w="12700" cmpd="sng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221615</xdr:colOff>
      <xdr:row>4</xdr:row>
      <xdr:rowOff>179705</xdr:rowOff>
    </xdr:from>
    <xdr:to>
      <xdr:col>5</xdr:col>
      <xdr:colOff>68580</xdr:colOff>
      <xdr:row>4</xdr:row>
      <xdr:rowOff>179705</xdr:rowOff>
    </xdr:to>
    <xdr:cxnSp>
      <xdr:nvCxnSpPr>
        <xdr:cNvPr id="29" name="Straight Connector 28"/>
        <xdr:cNvCxnSpPr/>
      </xdr:nvCxnSpPr>
      <xdr:spPr>
        <a:xfrm>
          <a:off x="1440815" y="916305"/>
          <a:ext cx="1675765" cy="0"/>
        </a:xfrm>
        <a:prstGeom prst="line">
          <a:avLst/>
        </a:prstGeom>
        <a:ln w="12700" cmpd="sng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245110</xdr:colOff>
      <xdr:row>1</xdr:row>
      <xdr:rowOff>155575</xdr:rowOff>
    </xdr:from>
    <xdr:to>
      <xdr:col>5</xdr:col>
      <xdr:colOff>27305</xdr:colOff>
      <xdr:row>4</xdr:row>
      <xdr:rowOff>46990</xdr:rowOff>
    </xdr:to>
    <xdr:sp>
      <xdr:nvSpPr>
        <xdr:cNvPr id="30" name="Rounded Rectangle 29">
          <a:hlinkClick xmlns:r="http://schemas.openxmlformats.org/officeDocument/2006/relationships" r:id="rId6"/>
        </xdr:cNvPr>
        <xdr:cNvSpPr/>
      </xdr:nvSpPr>
      <xdr:spPr>
        <a:xfrm>
          <a:off x="1464310" y="339725"/>
          <a:ext cx="1610995" cy="443865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overflow" horzOverflow="overflow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Dashboard</a:t>
          </a:r>
          <a:endParaRPr lang="en-US" sz="1400" b="1"/>
        </a:p>
      </xdr:txBody>
    </xdr:sp>
    <xdr:clientData/>
  </xdr:twoCellAnchor>
  <xdr:twoCellAnchor>
    <xdr:from>
      <xdr:col>2</xdr:col>
      <xdr:colOff>256540</xdr:colOff>
      <xdr:row>5</xdr:row>
      <xdr:rowOff>136525</xdr:rowOff>
    </xdr:from>
    <xdr:to>
      <xdr:col>5</xdr:col>
      <xdr:colOff>38735</xdr:colOff>
      <xdr:row>7</xdr:row>
      <xdr:rowOff>129540</xdr:rowOff>
    </xdr:to>
    <xdr:sp>
      <xdr:nvSpPr>
        <xdr:cNvPr id="31" name="Rounded Rectangle 30">
          <a:hlinkClick xmlns:r="http://schemas.openxmlformats.org/officeDocument/2006/relationships" r:id="rId7"/>
        </xdr:cNvPr>
        <xdr:cNvSpPr/>
      </xdr:nvSpPr>
      <xdr:spPr>
        <a:xfrm>
          <a:off x="1475740" y="1057275"/>
          <a:ext cx="1610995" cy="443865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overflow" horzOverflow="overflow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Analysis</a:t>
          </a:r>
          <a:endParaRPr lang="en-US" sz="1400" b="1"/>
        </a:p>
      </xdr:txBody>
    </xdr:sp>
    <xdr:clientData/>
  </xdr:twoCellAnchor>
  <xdr:twoCellAnchor>
    <xdr:from>
      <xdr:col>2</xdr:col>
      <xdr:colOff>250825</xdr:colOff>
      <xdr:row>8</xdr:row>
      <xdr:rowOff>148590</xdr:rowOff>
    </xdr:from>
    <xdr:to>
      <xdr:col>5</xdr:col>
      <xdr:colOff>33020</xdr:colOff>
      <xdr:row>11</xdr:row>
      <xdr:rowOff>40005</xdr:rowOff>
    </xdr:to>
    <xdr:sp>
      <xdr:nvSpPr>
        <xdr:cNvPr id="32" name="Rounded Rectangle 31">
          <a:hlinkClick xmlns:r="http://schemas.openxmlformats.org/officeDocument/2006/relationships" r:id="rId8"/>
        </xdr:cNvPr>
        <xdr:cNvSpPr/>
      </xdr:nvSpPr>
      <xdr:spPr>
        <a:xfrm>
          <a:off x="1470025" y="1704340"/>
          <a:ext cx="1610995" cy="443865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Data</a:t>
          </a:r>
          <a:endParaRPr lang="en-US" sz="1400" b="1"/>
        </a:p>
      </xdr:txBody>
    </xdr:sp>
    <xdr:clientData/>
  </xdr:twoCellAnchor>
  <xdr:oneCellAnchor>
    <xdr:from>
      <xdr:col>9</xdr:col>
      <xdr:colOff>374015</xdr:colOff>
      <xdr:row>6</xdr:row>
      <xdr:rowOff>171150</xdr:rowOff>
    </xdr:from>
    <xdr:ext cx="1859915" cy="322580"/>
    <xdr:sp>
      <xdr:nvSpPr>
        <xdr:cNvPr id="33" name="Text Box 32"/>
        <xdr:cNvSpPr txBox="1"/>
      </xdr:nvSpPr>
      <xdr:spPr>
        <a:xfrm>
          <a:off x="5860415" y="1275715"/>
          <a:ext cx="1859915" cy="3225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Avg. Monthly Salary</a:t>
          </a:r>
          <a:endParaRPr lang="en-US" sz="1200" b="1"/>
        </a:p>
      </xdr:txBody>
    </xdr:sp>
    <xdr:clientData/>
  </xdr:oneCellAnchor>
  <xdr:oneCellAnchor>
    <xdr:from>
      <xdr:col>6</xdr:col>
      <xdr:colOff>120650</xdr:colOff>
      <xdr:row>6</xdr:row>
      <xdr:rowOff>199164</xdr:rowOff>
    </xdr:from>
    <xdr:ext cx="1586865" cy="304800"/>
    <xdr:sp>
      <xdr:nvSpPr>
        <xdr:cNvPr id="34" name="Text Box 33"/>
        <xdr:cNvSpPr txBox="1"/>
      </xdr:nvSpPr>
      <xdr:spPr>
        <a:xfrm>
          <a:off x="3778250" y="1303655"/>
          <a:ext cx="1586865" cy="304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latin typeface="Calibri" panose="020F0502020204030204" pitchFamily="34" charset="0"/>
              <a:cs typeface="Calibri" panose="020F0502020204030204" pitchFamily="34" charset="0"/>
              <a:sym typeface="+mn-ea"/>
            </a:rPr>
            <a:t>Total Employees</a:t>
          </a:r>
          <a:endParaRPr lang="en-US" sz="1200" b="1">
            <a:latin typeface="Calibri" panose="020F0502020204030204" pitchFamily="34" charset="0"/>
            <a:cs typeface="Calibri" panose="020F0502020204030204" pitchFamily="34" charset="0"/>
            <a:sym typeface="+mn-ea"/>
          </a:endParaRPr>
        </a:p>
      </xdr:txBody>
    </xdr:sp>
    <xdr:clientData/>
  </xdr:oneCellAnchor>
  <xdr:oneCellAnchor>
    <xdr:from>
      <xdr:col>13</xdr:col>
      <xdr:colOff>149225</xdr:colOff>
      <xdr:row>6</xdr:row>
      <xdr:rowOff>143845</xdr:rowOff>
    </xdr:from>
    <xdr:ext cx="1918970" cy="332740"/>
    <xdr:sp>
      <xdr:nvSpPr>
        <xdr:cNvPr id="35" name="Text Box 34"/>
        <xdr:cNvSpPr txBox="1"/>
      </xdr:nvSpPr>
      <xdr:spPr>
        <a:xfrm>
          <a:off x="8074025" y="1248410"/>
          <a:ext cx="1918970" cy="3327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Overtime Employees</a:t>
          </a:r>
          <a:endParaRPr lang="en-US" sz="1200" b="1"/>
        </a:p>
      </xdr:txBody>
    </xdr:sp>
    <xdr:clientData/>
  </xdr:oneCellAnchor>
  <xdr:oneCellAnchor>
    <xdr:from>
      <xdr:col>17</xdr:col>
      <xdr:colOff>120650</xdr:colOff>
      <xdr:row>6</xdr:row>
      <xdr:rowOff>171150</xdr:rowOff>
    </xdr:from>
    <xdr:ext cx="1586865" cy="304800"/>
    <xdr:sp>
      <xdr:nvSpPr>
        <xdr:cNvPr id="36" name="Text Box 35"/>
        <xdr:cNvSpPr txBox="1"/>
      </xdr:nvSpPr>
      <xdr:spPr>
        <a:xfrm>
          <a:off x="10483850" y="1275715"/>
          <a:ext cx="1586865" cy="304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Attrition Rate %</a:t>
          </a:r>
          <a:endParaRPr lang="en-US" sz="1200" b="1"/>
        </a:p>
      </xdr:txBody>
    </xdr:sp>
    <xdr:clientData/>
  </xdr:oneCellAnchor>
  <xdr:oneCellAnchor>
    <xdr:from>
      <xdr:col>20</xdr:col>
      <xdr:colOff>337820</xdr:colOff>
      <xdr:row>6</xdr:row>
      <xdr:rowOff>154005</xdr:rowOff>
    </xdr:from>
    <xdr:ext cx="1866265" cy="321945"/>
    <xdr:sp>
      <xdr:nvSpPr>
        <xdr:cNvPr id="37" name="Text Box 36"/>
        <xdr:cNvSpPr txBox="1"/>
      </xdr:nvSpPr>
      <xdr:spPr>
        <a:xfrm>
          <a:off x="12529820" y="1258570"/>
          <a:ext cx="1866265" cy="3219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Resigned Employees</a:t>
          </a:r>
          <a:endParaRPr lang="en-US" sz="1200" b="1"/>
        </a:p>
      </xdr:txBody>
    </xdr:sp>
    <xdr:clientData/>
  </xdr:oneCellAnchor>
  <xdr:twoCellAnchor editAs="oneCell">
    <xdr:from>
      <xdr:col>2</xdr:col>
      <xdr:colOff>123190</xdr:colOff>
      <xdr:row>14</xdr:row>
      <xdr:rowOff>172085</xdr:rowOff>
    </xdr:from>
    <xdr:to>
      <xdr:col>5</xdr:col>
      <xdr:colOff>158115</xdr:colOff>
      <xdr:row>27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390" y="2832735"/>
              <a:ext cx="1863725" cy="2380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392430</xdr:colOff>
      <xdr:row>1</xdr:row>
      <xdr:rowOff>129540</xdr:rowOff>
    </xdr:from>
    <xdr:to>
      <xdr:col>19</xdr:col>
      <xdr:colOff>314325</xdr:colOff>
      <xdr:row>5</xdr:row>
      <xdr:rowOff>102235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Employment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ment_Statu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6430" y="313690"/>
              <a:ext cx="2360295" cy="709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251460</xdr:colOff>
      <xdr:row>1</xdr:row>
      <xdr:rowOff>91440</xdr:rowOff>
    </xdr:from>
    <xdr:to>
      <xdr:col>23</xdr:col>
      <xdr:colOff>544830</xdr:colOff>
      <xdr:row>5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Over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3460" y="275590"/>
              <a:ext cx="2122170" cy="756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15</xdr:col>
      <xdr:colOff>120015</xdr:colOff>
      <xdr:row>1</xdr:row>
      <xdr:rowOff>40640</xdr:rowOff>
    </xdr:from>
    <xdr:to>
      <xdr:col>15</xdr:col>
      <xdr:colOff>120015</xdr:colOff>
      <xdr:row>5</xdr:row>
      <xdr:rowOff>144780</xdr:rowOff>
    </xdr:to>
    <xdr:cxnSp>
      <xdr:nvCxnSpPr>
        <xdr:cNvPr id="41" name="Straight Connector 40"/>
        <xdr:cNvCxnSpPr/>
      </xdr:nvCxnSpPr>
      <xdr:spPr>
        <a:xfrm>
          <a:off x="9264015" y="224790"/>
          <a:ext cx="0" cy="84074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570230</xdr:colOff>
      <xdr:row>1</xdr:row>
      <xdr:rowOff>17780</xdr:rowOff>
    </xdr:from>
    <xdr:to>
      <xdr:col>19</xdr:col>
      <xdr:colOff>570230</xdr:colOff>
      <xdr:row>5</xdr:row>
      <xdr:rowOff>121920</xdr:rowOff>
    </xdr:to>
    <xdr:cxnSp>
      <xdr:nvCxnSpPr>
        <xdr:cNvPr id="42" name="Straight Connector 41"/>
        <xdr:cNvCxnSpPr/>
      </xdr:nvCxnSpPr>
      <xdr:spPr>
        <a:xfrm>
          <a:off x="12152630" y="201930"/>
          <a:ext cx="0" cy="84074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112059</xdr:colOff>
      <xdr:row>8</xdr:row>
      <xdr:rowOff>112060</xdr:rowOff>
    </xdr:from>
    <xdr:to>
      <xdr:col>8</xdr:col>
      <xdr:colOff>476250</xdr:colOff>
      <xdr:row>10</xdr:row>
      <xdr:rowOff>140075</xdr:rowOff>
    </xdr:to>
    <xdr:sp textlink="Analysis!I10">
      <xdr:nvSpPr>
        <xdr:cNvPr id="43" name="TextBox 7"/>
        <xdr:cNvSpPr txBox="1"/>
      </xdr:nvSpPr>
      <xdr:spPr>
        <a:xfrm>
          <a:off x="3769360" y="1667510"/>
          <a:ext cx="1583690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AE64A3D5-9011-49F9-AD26-11E284FC4C13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650</a:t>
          </a:fld>
          <a:endParaRPr lang="en-IN" sz="2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9</xdr:col>
      <xdr:colOff>488315</xdr:colOff>
      <xdr:row>8</xdr:row>
      <xdr:rowOff>80645</xdr:rowOff>
    </xdr:from>
    <xdr:to>
      <xdr:col>12</xdr:col>
      <xdr:colOff>245110</xdr:colOff>
      <xdr:row>10</xdr:row>
      <xdr:rowOff>108585</xdr:rowOff>
    </xdr:to>
    <xdr:sp textlink="Analysis!E5">
      <xdr:nvSpPr>
        <xdr:cNvPr id="44" name="TextBox 12"/>
        <xdr:cNvSpPr txBox="1"/>
      </xdr:nvSpPr>
      <xdr:spPr>
        <a:xfrm>
          <a:off x="5974715" y="1636395"/>
          <a:ext cx="1585595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A48434DE-A78C-47A3-9D90-6F7A454E6B66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₹43.7K</a:t>
          </a:fld>
          <a:endParaRPr lang="en-IN" sz="2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13</xdr:col>
      <xdr:colOff>264345</xdr:colOff>
      <xdr:row>8</xdr:row>
      <xdr:rowOff>80981</xdr:rowOff>
    </xdr:from>
    <xdr:to>
      <xdr:col>16</xdr:col>
      <xdr:colOff>21550</xdr:colOff>
      <xdr:row>10</xdr:row>
      <xdr:rowOff>108996</xdr:rowOff>
    </xdr:to>
    <xdr:sp textlink="Analysis!B20">
      <xdr:nvSpPr>
        <xdr:cNvPr id="45" name="TextBox 15"/>
        <xdr:cNvSpPr txBox="1"/>
      </xdr:nvSpPr>
      <xdr:spPr>
        <a:xfrm>
          <a:off x="8188960" y="1636395"/>
          <a:ext cx="1585595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588170E5-2F99-448C-936D-D56E600400CC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165</a:t>
          </a:fld>
          <a:endParaRPr lang="en-IN" sz="2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17</xdr:col>
      <xdr:colOff>124269</xdr:colOff>
      <xdr:row>8</xdr:row>
      <xdr:rowOff>71643</xdr:rowOff>
    </xdr:from>
    <xdr:to>
      <xdr:col>19</xdr:col>
      <xdr:colOff>488459</xdr:colOff>
      <xdr:row>10</xdr:row>
      <xdr:rowOff>99658</xdr:rowOff>
    </xdr:to>
    <xdr:sp textlink="Analysis!G10">
      <xdr:nvSpPr>
        <xdr:cNvPr id="46" name="TextBox 16"/>
        <xdr:cNvSpPr txBox="1"/>
      </xdr:nvSpPr>
      <xdr:spPr>
        <a:xfrm>
          <a:off x="10487025" y="1626870"/>
          <a:ext cx="1583690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50FB9C60-FB5E-43FB-A944-44BE524B63E8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20%</a:t>
          </a:fld>
          <a:endParaRPr lang="en-IN" sz="2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20</xdr:col>
      <xdr:colOff>441772</xdr:colOff>
      <xdr:row>8</xdr:row>
      <xdr:rowOff>52966</xdr:rowOff>
    </xdr:from>
    <xdr:to>
      <xdr:col>23</xdr:col>
      <xdr:colOff>198977</xdr:colOff>
      <xdr:row>10</xdr:row>
      <xdr:rowOff>80981</xdr:rowOff>
    </xdr:to>
    <xdr:sp textlink="Analysis!B5">
      <xdr:nvSpPr>
        <xdr:cNvPr id="47" name="TextBox 17"/>
        <xdr:cNvSpPr txBox="1"/>
      </xdr:nvSpPr>
      <xdr:spPr>
        <a:xfrm>
          <a:off x="12633325" y="1608455"/>
          <a:ext cx="1586230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38172857-9D3C-4874-97EB-07938F1D6308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131</a:t>
          </a:fld>
          <a:endParaRPr lang="en-IN" sz="2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6.4566087963" refreshedBy="Himanshu" recordCount="650">
  <cacheSource type="worksheet">
    <worksheetSource ref="A1:N651" sheet="Employee_Data"/>
  </cacheSource>
  <cacheFields count="14">
    <cacheField name="Employee_ID" numFmtId="0">
      <sharedItems count="65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  <s v="E0101"/>
        <s v="E0102"/>
        <s v="E0103"/>
        <s v="E0104"/>
        <s v="E0105"/>
        <s v="E0106"/>
        <s v="E0107"/>
        <s v="E0108"/>
        <s v="E0109"/>
        <s v="E0110"/>
        <s v="E0111"/>
        <s v="E0112"/>
        <s v="E0113"/>
        <s v="E0114"/>
        <s v="E0115"/>
        <s v="E0116"/>
        <s v="E0117"/>
        <s v="E0118"/>
        <s v="E0119"/>
        <s v="E0120"/>
        <s v="E0121"/>
        <s v="E0122"/>
        <s v="E0123"/>
        <s v="E0124"/>
        <s v="E0125"/>
        <s v="E0126"/>
        <s v="E0127"/>
        <s v="E0128"/>
        <s v="E0129"/>
        <s v="E0130"/>
        <s v="E0131"/>
        <s v="E0132"/>
        <s v="E0133"/>
        <s v="E0134"/>
        <s v="E0135"/>
        <s v="E0136"/>
        <s v="E0137"/>
        <s v="E0138"/>
        <s v="E0139"/>
        <s v="E0140"/>
        <s v="E0141"/>
        <s v="E0142"/>
        <s v="E0143"/>
        <s v="E0144"/>
        <s v="E0145"/>
        <s v="E0146"/>
        <s v="E0147"/>
        <s v="E0148"/>
        <s v="E0149"/>
        <s v="E0150"/>
        <s v="E0151"/>
        <s v="E0152"/>
        <s v="E0153"/>
        <s v="E0154"/>
        <s v="E0155"/>
        <s v="E0156"/>
        <s v="E0157"/>
        <s v="E0158"/>
        <s v="E0159"/>
        <s v="E0160"/>
        <s v="E0161"/>
        <s v="E0162"/>
        <s v="E0163"/>
        <s v="E0164"/>
        <s v="E0165"/>
        <s v="E0166"/>
        <s v="E0167"/>
        <s v="E0168"/>
        <s v="E0169"/>
        <s v="E0170"/>
        <s v="E0171"/>
        <s v="E0172"/>
        <s v="E0173"/>
        <s v="E0174"/>
        <s v="E0175"/>
        <s v="E0176"/>
        <s v="E0177"/>
        <s v="E0178"/>
        <s v="E0179"/>
        <s v="E0180"/>
        <s v="E0181"/>
        <s v="E0182"/>
        <s v="E0183"/>
        <s v="E0184"/>
        <s v="E0185"/>
        <s v="E0186"/>
        <s v="E0187"/>
        <s v="E0188"/>
        <s v="E0189"/>
        <s v="E0190"/>
        <s v="E0191"/>
        <s v="E0192"/>
        <s v="E0193"/>
        <s v="E0194"/>
        <s v="E0195"/>
        <s v="E0196"/>
        <s v="E0197"/>
        <s v="E0198"/>
        <s v="E0199"/>
        <s v="E0200"/>
        <s v="E0201"/>
        <s v="E0202"/>
        <s v="E0203"/>
        <s v="E0204"/>
        <s v="E0205"/>
        <s v="E0206"/>
        <s v="E0207"/>
        <s v="E0208"/>
        <s v="E0209"/>
        <s v="E0210"/>
        <s v="E0211"/>
        <s v="E0212"/>
        <s v="E0213"/>
        <s v="E0214"/>
        <s v="E0215"/>
        <s v="E0216"/>
        <s v="E0217"/>
        <s v="E0218"/>
        <s v="E0219"/>
        <s v="E0220"/>
        <s v="E0221"/>
        <s v="E0222"/>
        <s v="E0223"/>
        <s v="E0224"/>
        <s v="E0225"/>
        <s v="E0226"/>
        <s v="E0227"/>
        <s v="E0228"/>
        <s v="E0229"/>
        <s v="E0230"/>
        <s v="E0231"/>
        <s v="E0232"/>
        <s v="E0233"/>
        <s v="E0234"/>
        <s v="E0235"/>
        <s v="E0236"/>
        <s v="E0237"/>
        <s v="E0238"/>
        <s v="E0239"/>
        <s v="E0240"/>
        <s v="E0241"/>
        <s v="E0242"/>
        <s v="E0243"/>
        <s v="E0244"/>
        <s v="E0245"/>
        <s v="E0246"/>
        <s v="E0247"/>
        <s v="E0248"/>
        <s v="E0249"/>
        <s v="E0250"/>
        <s v="E0251"/>
        <s v="E0252"/>
        <s v="E0253"/>
        <s v="E0254"/>
        <s v="E0255"/>
        <s v="E0256"/>
        <s v="E0257"/>
        <s v="E0258"/>
        <s v="E0259"/>
        <s v="E0260"/>
        <s v="E0261"/>
        <s v="E0262"/>
        <s v="E0263"/>
        <s v="E0264"/>
        <s v="E0265"/>
        <s v="E0266"/>
        <s v="E0267"/>
        <s v="E0268"/>
        <s v="E0269"/>
        <s v="E0270"/>
        <s v="E0271"/>
        <s v="E0272"/>
        <s v="E0273"/>
        <s v="E0274"/>
        <s v="E0275"/>
        <s v="E0276"/>
        <s v="E0277"/>
        <s v="E0278"/>
        <s v="E0279"/>
        <s v="E0280"/>
        <s v="E0281"/>
        <s v="E0282"/>
        <s v="E0283"/>
        <s v="E0284"/>
        <s v="E0285"/>
        <s v="E0286"/>
        <s v="E0287"/>
        <s v="E0288"/>
        <s v="E0289"/>
        <s v="E0290"/>
        <s v="E0291"/>
        <s v="E0292"/>
        <s v="E0293"/>
        <s v="E0294"/>
        <s v="E0295"/>
        <s v="E0296"/>
        <s v="E0297"/>
        <s v="E0298"/>
        <s v="E0299"/>
        <s v="E0300"/>
        <s v="E0301"/>
        <s v="E0302"/>
        <s v="E0303"/>
        <s v="E0304"/>
        <s v="E0305"/>
        <s v="E0306"/>
        <s v="E0307"/>
        <s v="E0308"/>
        <s v="E0309"/>
        <s v="E0310"/>
        <s v="E0311"/>
        <s v="E0312"/>
        <s v="E0313"/>
        <s v="E0314"/>
        <s v="E0315"/>
        <s v="E0316"/>
        <s v="E0317"/>
        <s v="E0318"/>
        <s v="E0319"/>
        <s v="E0320"/>
        <s v="E0321"/>
        <s v="E0322"/>
        <s v="E0323"/>
        <s v="E0324"/>
        <s v="E0325"/>
        <s v="E0326"/>
        <s v="E0327"/>
        <s v="E0328"/>
        <s v="E0329"/>
        <s v="E0330"/>
        <s v="E0331"/>
        <s v="E0332"/>
        <s v="E0333"/>
        <s v="E0334"/>
        <s v="E0335"/>
        <s v="E0336"/>
        <s v="E0337"/>
        <s v="E0338"/>
        <s v="E0339"/>
        <s v="E0340"/>
        <s v="E0341"/>
        <s v="E0342"/>
        <s v="E0343"/>
        <s v="E0344"/>
        <s v="E0345"/>
        <s v="E0346"/>
        <s v="E0347"/>
        <s v="E0348"/>
        <s v="E0349"/>
        <s v="E0350"/>
        <s v="E0351"/>
        <s v="E0352"/>
        <s v="E0353"/>
        <s v="E0354"/>
        <s v="E0355"/>
        <s v="E0356"/>
        <s v="E0357"/>
        <s v="E0358"/>
        <s v="E0359"/>
        <s v="E0360"/>
        <s v="E0361"/>
        <s v="E0362"/>
        <s v="E0363"/>
        <s v="E0364"/>
        <s v="E0365"/>
        <s v="E0366"/>
        <s v="E0367"/>
        <s v="E0368"/>
        <s v="E0369"/>
        <s v="E0370"/>
        <s v="E0371"/>
        <s v="E0372"/>
        <s v="E0373"/>
        <s v="E0374"/>
        <s v="E0375"/>
        <s v="E0376"/>
        <s v="E0377"/>
        <s v="E0378"/>
        <s v="E0379"/>
        <s v="E0380"/>
        <s v="E0381"/>
        <s v="E0382"/>
        <s v="E0383"/>
        <s v="E0384"/>
        <s v="E0385"/>
        <s v="E0386"/>
        <s v="E0387"/>
        <s v="E0388"/>
        <s v="E0389"/>
        <s v="E0390"/>
        <s v="E0391"/>
        <s v="E0392"/>
        <s v="E0393"/>
        <s v="E0394"/>
        <s v="E0395"/>
        <s v="E0396"/>
        <s v="E0397"/>
        <s v="E0398"/>
        <s v="E0399"/>
        <s v="E0400"/>
        <s v="E0401"/>
        <s v="E0402"/>
        <s v="E0403"/>
        <s v="E0404"/>
        <s v="E0405"/>
        <s v="E0406"/>
        <s v="E0407"/>
        <s v="E0408"/>
        <s v="E0409"/>
        <s v="E0410"/>
        <s v="E0411"/>
        <s v="E0412"/>
        <s v="E0413"/>
        <s v="E0414"/>
        <s v="E0415"/>
        <s v="E0416"/>
        <s v="E0417"/>
        <s v="E0418"/>
        <s v="E0419"/>
        <s v="E0420"/>
        <s v="E0421"/>
        <s v="E0422"/>
        <s v="E0423"/>
        <s v="E0424"/>
        <s v="E0425"/>
        <s v="E0426"/>
        <s v="E0427"/>
        <s v="E0428"/>
        <s v="E0429"/>
        <s v="E0430"/>
        <s v="E0431"/>
        <s v="E0432"/>
        <s v="E0433"/>
        <s v="E0434"/>
        <s v="E0435"/>
        <s v="E0436"/>
        <s v="E0437"/>
        <s v="E0438"/>
        <s v="E0439"/>
        <s v="E0440"/>
        <s v="E0441"/>
        <s v="E0442"/>
        <s v="E0443"/>
        <s v="E0444"/>
        <s v="E0445"/>
        <s v="E0446"/>
        <s v="E0447"/>
        <s v="E0448"/>
        <s v="E0449"/>
        <s v="E0450"/>
        <s v="E0451"/>
        <s v="E0452"/>
        <s v="E0453"/>
        <s v="E0454"/>
        <s v="E0455"/>
        <s v="E0456"/>
        <s v="E0457"/>
        <s v="E0458"/>
        <s v="E0459"/>
        <s v="E0460"/>
        <s v="E0461"/>
        <s v="E0462"/>
        <s v="E0463"/>
        <s v="E0464"/>
        <s v="E0465"/>
        <s v="E0466"/>
        <s v="E0467"/>
        <s v="E0468"/>
        <s v="E0469"/>
        <s v="E0470"/>
        <s v="E0471"/>
        <s v="E0472"/>
        <s v="E0473"/>
        <s v="E0474"/>
        <s v="E0475"/>
        <s v="E0476"/>
        <s v="E0477"/>
        <s v="E0478"/>
        <s v="E0479"/>
        <s v="E0480"/>
        <s v="E0481"/>
        <s v="E0482"/>
        <s v="E0483"/>
        <s v="E0484"/>
        <s v="E0485"/>
        <s v="E0486"/>
        <s v="E0487"/>
        <s v="E0488"/>
        <s v="E0489"/>
        <s v="E0490"/>
        <s v="E0491"/>
        <s v="E0492"/>
        <s v="E0493"/>
        <s v="E0494"/>
        <s v="E0495"/>
        <s v="E0496"/>
        <s v="E0497"/>
        <s v="E0498"/>
        <s v="E0499"/>
        <s v="E0500"/>
        <s v="E0501"/>
        <s v="E0502"/>
        <s v="E0503"/>
        <s v="E0504"/>
        <s v="E0505"/>
        <s v="E0506"/>
        <s v="E0507"/>
        <s v="E0508"/>
        <s v="E0509"/>
        <s v="E0510"/>
        <s v="E0511"/>
        <s v="E0512"/>
        <s v="E0513"/>
        <s v="E0514"/>
        <s v="E0515"/>
        <s v="E0516"/>
        <s v="E0517"/>
        <s v="E0518"/>
        <s v="E0519"/>
        <s v="E0520"/>
        <s v="E0521"/>
        <s v="E0522"/>
        <s v="E0523"/>
        <s v="E0524"/>
        <s v="E0525"/>
        <s v="E0526"/>
        <s v="E0527"/>
        <s v="E0528"/>
        <s v="E0529"/>
        <s v="E0530"/>
        <s v="E0531"/>
        <s v="E0532"/>
        <s v="E0533"/>
        <s v="E0534"/>
        <s v="E0535"/>
        <s v="E0536"/>
        <s v="E0537"/>
        <s v="E0538"/>
        <s v="E0539"/>
        <s v="E0540"/>
        <s v="E0541"/>
        <s v="E0542"/>
        <s v="E0543"/>
        <s v="E0544"/>
        <s v="E0545"/>
        <s v="E0546"/>
        <s v="E0547"/>
        <s v="E0548"/>
        <s v="E0549"/>
        <s v="E0550"/>
        <s v="E0551"/>
        <s v="E0552"/>
        <s v="E0553"/>
        <s v="E0554"/>
        <s v="E0555"/>
        <s v="E0556"/>
        <s v="E0557"/>
        <s v="E0558"/>
        <s v="E0559"/>
        <s v="E0560"/>
        <s v="E0561"/>
        <s v="E0562"/>
        <s v="E0563"/>
        <s v="E0564"/>
        <s v="E0565"/>
        <s v="E0566"/>
        <s v="E0567"/>
        <s v="E0568"/>
        <s v="E0569"/>
        <s v="E0570"/>
        <s v="E0571"/>
        <s v="E0572"/>
        <s v="E0573"/>
        <s v="E0574"/>
        <s v="E0575"/>
        <s v="E0576"/>
        <s v="E0577"/>
        <s v="E0578"/>
        <s v="E0579"/>
        <s v="E0580"/>
        <s v="E0581"/>
        <s v="E0582"/>
        <s v="E0583"/>
        <s v="E0584"/>
        <s v="E0585"/>
        <s v="E0586"/>
        <s v="E0587"/>
        <s v="E0588"/>
        <s v="E0589"/>
        <s v="E0590"/>
        <s v="E0591"/>
        <s v="E0592"/>
        <s v="E0593"/>
        <s v="E0594"/>
        <s v="E0595"/>
        <s v="E0596"/>
        <s v="E0597"/>
        <s v="E0598"/>
        <s v="E0599"/>
        <s v="E0600"/>
        <s v="E0601"/>
        <s v="E0602"/>
        <s v="E0603"/>
        <s v="E0604"/>
        <s v="E0605"/>
        <s v="E0606"/>
        <s v="E0607"/>
        <s v="E0608"/>
        <s v="E0609"/>
        <s v="E0610"/>
        <s v="E0611"/>
        <s v="E0612"/>
        <s v="E0613"/>
        <s v="E0614"/>
        <s v="E0615"/>
        <s v="E0616"/>
        <s v="E0617"/>
        <s v="E0618"/>
        <s v="E0619"/>
        <s v="E0620"/>
        <s v="E0621"/>
        <s v="E0622"/>
        <s v="E0623"/>
        <s v="E0624"/>
        <s v="E0625"/>
        <s v="E0626"/>
        <s v="E0627"/>
        <s v="E0628"/>
        <s v="E0629"/>
        <s v="E0630"/>
        <s v="E0631"/>
        <s v="E0632"/>
        <s v="E0633"/>
        <s v="E0634"/>
        <s v="E0635"/>
        <s v="E0636"/>
        <s v="E0637"/>
        <s v="E0638"/>
        <s v="E0639"/>
        <s v="E0640"/>
        <s v="E0641"/>
        <s v="E0642"/>
        <s v="E0643"/>
        <s v="E0644"/>
        <s v="E0645"/>
        <s v="E0646"/>
        <s v="E0647"/>
        <s v="E0648"/>
        <s v="E0649"/>
        <s v="E0650"/>
      </sharedItems>
    </cacheField>
    <cacheField name="Employee_Name" numFmtId="0">
      <sharedItems count="650">
        <s v="Employee 0001"/>
        <s v="Employee 0002"/>
        <s v="Employee 0003"/>
        <s v="Employee 0004"/>
        <s v="Employee 0005"/>
        <s v="Employee 0006"/>
        <s v="Employee 0007"/>
        <s v="Employee 0008"/>
        <s v="Employee 0009"/>
        <s v="Employee 0010"/>
        <s v="Employee 0011"/>
        <s v="Employee 0012"/>
        <s v="Employee 0013"/>
        <s v="Employee 0014"/>
        <s v="Employee 0015"/>
        <s v="Employee 0016"/>
        <s v="Employee 0017"/>
        <s v="Employee 0018"/>
        <s v="Employee 0019"/>
        <s v="Employee 0020"/>
        <s v="Employee 0021"/>
        <s v="Employee 0022"/>
        <s v="Employee 0023"/>
        <s v="Employee 0024"/>
        <s v="Employee 0025"/>
        <s v="Employee 0026"/>
        <s v="Employee 0027"/>
        <s v="Employee 0028"/>
        <s v="Employee 0029"/>
        <s v="Employee 0030"/>
        <s v="Employee 0031"/>
        <s v="Employee 0032"/>
        <s v="Employee 0033"/>
        <s v="Employee 0034"/>
        <s v="Employee 0035"/>
        <s v="Employee 0036"/>
        <s v="Employee 0037"/>
        <s v="Employee 0038"/>
        <s v="Employee 0039"/>
        <s v="Employee 0040"/>
        <s v="Employee 0041"/>
        <s v="Employee 0042"/>
        <s v="Employee 0043"/>
        <s v="Employee 0044"/>
        <s v="Employee 0045"/>
        <s v="Employee 0046"/>
        <s v="Employee 0047"/>
        <s v="Employee 0048"/>
        <s v="Employee 0049"/>
        <s v="Employee 0050"/>
        <s v="Employee 0051"/>
        <s v="Employee 0052"/>
        <s v="Employee 0053"/>
        <s v="Employee 0054"/>
        <s v="Employee 0055"/>
        <s v="Employee 0056"/>
        <s v="Employee 0057"/>
        <s v="Employee 0058"/>
        <s v="Employee 0059"/>
        <s v="Employee 0060"/>
        <s v="Employee 0061"/>
        <s v="Employee 0062"/>
        <s v="Employee 0063"/>
        <s v="Employee 0064"/>
        <s v="Employee 0065"/>
        <s v="Employee 0066"/>
        <s v="Employee 0067"/>
        <s v="Employee 0068"/>
        <s v="Employee 0069"/>
        <s v="Employee 0070"/>
        <s v="Employee 0071"/>
        <s v="Employee 0072"/>
        <s v="Employee 0073"/>
        <s v="Employee 0074"/>
        <s v="Employee 0075"/>
        <s v="Employee 0076"/>
        <s v="Employee 0077"/>
        <s v="Employee 0078"/>
        <s v="Employee 0079"/>
        <s v="Employee 0080"/>
        <s v="Employee 0081"/>
        <s v="Employee 0082"/>
        <s v="Employee 0083"/>
        <s v="Employee 0084"/>
        <s v="Employee 0085"/>
        <s v="Employee 0086"/>
        <s v="Employee 0087"/>
        <s v="Employee 0088"/>
        <s v="Employee 0089"/>
        <s v="Employee 0090"/>
        <s v="Employee 0091"/>
        <s v="Employee 0092"/>
        <s v="Employee 0093"/>
        <s v="Employee 0094"/>
        <s v="Employee 0095"/>
        <s v="Employee 0096"/>
        <s v="Employee 0097"/>
        <s v="Employee 0098"/>
        <s v="Employee 0099"/>
        <s v="Employee 0100"/>
        <s v="Employee 0101"/>
        <s v="Employee 0102"/>
        <s v="Employee 0103"/>
        <s v="Employee 0104"/>
        <s v="Employee 0105"/>
        <s v="Employee 0106"/>
        <s v="Employee 0107"/>
        <s v="Employee 0108"/>
        <s v="Employee 0109"/>
        <s v="Employee 0110"/>
        <s v="Employee 0111"/>
        <s v="Employee 0112"/>
        <s v="Employee 0113"/>
        <s v="Employee 0114"/>
        <s v="Employee 0115"/>
        <s v="Employee 0116"/>
        <s v="Employee 0117"/>
        <s v="Employee 0118"/>
        <s v="Employee 0119"/>
        <s v="Employee 0120"/>
        <s v="Employee 0121"/>
        <s v="Employee 0122"/>
        <s v="Employee 0123"/>
        <s v="Employee 0124"/>
        <s v="Employee 0125"/>
        <s v="Employee 0126"/>
        <s v="Employee 0127"/>
        <s v="Employee 0128"/>
        <s v="Employee 0129"/>
        <s v="Employee 0130"/>
        <s v="Employee 0131"/>
        <s v="Employee 0132"/>
        <s v="Employee 0133"/>
        <s v="Employee 0134"/>
        <s v="Employee 0135"/>
        <s v="Employee 0136"/>
        <s v="Employee 0137"/>
        <s v="Employee 0138"/>
        <s v="Employee 0139"/>
        <s v="Employee 0140"/>
        <s v="Employee 0141"/>
        <s v="Employee 0142"/>
        <s v="Employee 0143"/>
        <s v="Employee 0144"/>
        <s v="Employee 0145"/>
        <s v="Employee 0146"/>
        <s v="Employee 0147"/>
        <s v="Employee 0148"/>
        <s v="Employee 0149"/>
        <s v="Employee 0150"/>
        <s v="Employee 0151"/>
        <s v="Employee 0152"/>
        <s v="Employee 0153"/>
        <s v="Employee 0154"/>
        <s v="Employee 0155"/>
        <s v="Employee 0156"/>
        <s v="Employee 0157"/>
        <s v="Employee 0158"/>
        <s v="Employee 0159"/>
        <s v="Employee 0160"/>
        <s v="Employee 0161"/>
        <s v="Employee 0162"/>
        <s v="Employee 0163"/>
        <s v="Employee 0164"/>
        <s v="Employee 0165"/>
        <s v="Employee 0166"/>
        <s v="Employee 0167"/>
        <s v="Employee 0168"/>
        <s v="Employee 0169"/>
        <s v="Employee 0170"/>
        <s v="Employee 0171"/>
        <s v="Employee 0172"/>
        <s v="Employee 0173"/>
        <s v="Employee 0174"/>
        <s v="Employee 0175"/>
        <s v="Employee 0176"/>
        <s v="Employee 0177"/>
        <s v="Employee 0178"/>
        <s v="Employee 0179"/>
        <s v="Employee 0180"/>
        <s v="Employee 0181"/>
        <s v="Employee 0182"/>
        <s v="Employee 0183"/>
        <s v="Employee 0184"/>
        <s v="Employee 0185"/>
        <s v="Employee 0186"/>
        <s v="Employee 0187"/>
        <s v="Employee 0188"/>
        <s v="Employee 0189"/>
        <s v="Employee 0190"/>
        <s v="Employee 0191"/>
        <s v="Employee 0192"/>
        <s v="Employee 0193"/>
        <s v="Employee 0194"/>
        <s v="Employee 0195"/>
        <s v="Employee 0196"/>
        <s v="Employee 0197"/>
        <s v="Employee 0198"/>
        <s v="Employee 0199"/>
        <s v="Employee 0200"/>
        <s v="Employee 0201"/>
        <s v="Employee 0202"/>
        <s v="Employee 0203"/>
        <s v="Employee 0204"/>
        <s v="Employee 0205"/>
        <s v="Employee 0206"/>
        <s v="Employee 0207"/>
        <s v="Employee 0208"/>
        <s v="Employee 0209"/>
        <s v="Employee 0210"/>
        <s v="Employee 0211"/>
        <s v="Employee 0212"/>
        <s v="Employee 0213"/>
        <s v="Employee 0214"/>
        <s v="Employee 0215"/>
        <s v="Employee 0216"/>
        <s v="Employee 0217"/>
        <s v="Employee 0218"/>
        <s v="Employee 0219"/>
        <s v="Employee 0220"/>
        <s v="Employee 0221"/>
        <s v="Employee 0222"/>
        <s v="Employee 0223"/>
        <s v="Employee 0224"/>
        <s v="Employee 0225"/>
        <s v="Employee 0226"/>
        <s v="Employee 0227"/>
        <s v="Employee 0228"/>
        <s v="Employee 0229"/>
        <s v="Employee 0230"/>
        <s v="Employee 0231"/>
        <s v="Employee 0232"/>
        <s v="Employee 0233"/>
        <s v="Employee 0234"/>
        <s v="Employee 0235"/>
        <s v="Employee 0236"/>
        <s v="Employee 0237"/>
        <s v="Employee 0238"/>
        <s v="Employee 0239"/>
        <s v="Employee 0240"/>
        <s v="Employee 0241"/>
        <s v="Employee 0242"/>
        <s v="Employee 0243"/>
        <s v="Employee 0244"/>
        <s v="Employee 0245"/>
        <s v="Employee 0246"/>
        <s v="Employee 0247"/>
        <s v="Employee 0248"/>
        <s v="Employee 0249"/>
        <s v="Employee 0250"/>
        <s v="Employee 0251"/>
        <s v="Employee 0252"/>
        <s v="Employee 0253"/>
        <s v="Employee 0254"/>
        <s v="Employee 0255"/>
        <s v="Employee 0256"/>
        <s v="Employee 0257"/>
        <s v="Employee 0258"/>
        <s v="Employee 0259"/>
        <s v="Employee 0260"/>
        <s v="Employee 0261"/>
        <s v="Employee 0262"/>
        <s v="Employee 0263"/>
        <s v="Employee 0264"/>
        <s v="Employee 0265"/>
        <s v="Employee 0266"/>
        <s v="Employee 0267"/>
        <s v="Employee 0268"/>
        <s v="Employee 0269"/>
        <s v="Employee 0270"/>
        <s v="Employee 0271"/>
        <s v="Employee 0272"/>
        <s v="Employee 0273"/>
        <s v="Employee 0274"/>
        <s v="Employee 0275"/>
        <s v="Employee 0276"/>
        <s v="Employee 0277"/>
        <s v="Employee 0278"/>
        <s v="Employee 0279"/>
        <s v="Employee 0280"/>
        <s v="Employee 0281"/>
        <s v="Employee 0282"/>
        <s v="Employee 0283"/>
        <s v="Employee 0284"/>
        <s v="Employee 0285"/>
        <s v="Employee 0286"/>
        <s v="Employee 0287"/>
        <s v="Employee 0288"/>
        <s v="Employee 0289"/>
        <s v="Employee 0290"/>
        <s v="Employee 0291"/>
        <s v="Employee 0292"/>
        <s v="Employee 0293"/>
        <s v="Employee 0294"/>
        <s v="Employee 0295"/>
        <s v="Employee 0296"/>
        <s v="Employee 0297"/>
        <s v="Employee 0298"/>
        <s v="Employee 0299"/>
        <s v="Employee 0300"/>
        <s v="Employee 0301"/>
        <s v="Employee 0302"/>
        <s v="Employee 0303"/>
        <s v="Employee 0304"/>
        <s v="Employee 0305"/>
        <s v="Employee 0306"/>
        <s v="Employee 0307"/>
        <s v="Employee 0308"/>
        <s v="Employee 0309"/>
        <s v="Employee 0310"/>
        <s v="Employee 0311"/>
        <s v="Employee 0312"/>
        <s v="Employee 0313"/>
        <s v="Employee 0314"/>
        <s v="Employee 0315"/>
        <s v="Employee 0316"/>
        <s v="Employee 0317"/>
        <s v="Employee 0318"/>
        <s v="Employee 0319"/>
        <s v="Employee 0320"/>
        <s v="Employee 0321"/>
        <s v="Employee 0322"/>
        <s v="Employee 0323"/>
        <s v="Employee 0324"/>
        <s v="Employee 0325"/>
        <s v="Employee 0326"/>
        <s v="Employee 0327"/>
        <s v="Employee 0328"/>
        <s v="Employee 0329"/>
        <s v="Employee 0330"/>
        <s v="Employee 0331"/>
        <s v="Employee 0332"/>
        <s v="Employee 0333"/>
        <s v="Employee 0334"/>
        <s v="Employee 0335"/>
        <s v="Employee 0336"/>
        <s v="Employee 0337"/>
        <s v="Employee 0338"/>
        <s v="Employee 0339"/>
        <s v="Employee 0340"/>
        <s v="Employee 0341"/>
        <s v="Employee 0342"/>
        <s v="Employee 0343"/>
        <s v="Employee 0344"/>
        <s v="Employee 0345"/>
        <s v="Employee 0346"/>
        <s v="Employee 0347"/>
        <s v="Employee 0348"/>
        <s v="Employee 0349"/>
        <s v="Employee 0350"/>
        <s v="Employee 0351"/>
        <s v="Employee 0352"/>
        <s v="Employee 0353"/>
        <s v="Employee 0354"/>
        <s v="Employee 0355"/>
        <s v="Employee 0356"/>
        <s v="Employee 0357"/>
        <s v="Employee 0358"/>
        <s v="Employee 0359"/>
        <s v="Employee 0360"/>
        <s v="Employee 0361"/>
        <s v="Employee 0362"/>
        <s v="Employee 0363"/>
        <s v="Employee 0364"/>
        <s v="Employee 0365"/>
        <s v="Employee 0366"/>
        <s v="Employee 0367"/>
        <s v="Employee 0368"/>
        <s v="Employee 0369"/>
        <s v="Employee 0370"/>
        <s v="Employee 0371"/>
        <s v="Employee 0372"/>
        <s v="Employee 0373"/>
        <s v="Employee 0374"/>
        <s v="Employee 0375"/>
        <s v="Employee 0376"/>
        <s v="Employee 0377"/>
        <s v="Employee 0378"/>
        <s v="Employee 0379"/>
        <s v="Employee 0380"/>
        <s v="Employee 0381"/>
        <s v="Employee 0382"/>
        <s v="Employee 0383"/>
        <s v="Employee 0384"/>
        <s v="Employee 0385"/>
        <s v="Employee 0386"/>
        <s v="Employee 0387"/>
        <s v="Employee 0388"/>
        <s v="Employee 0389"/>
        <s v="Employee 0390"/>
        <s v="Employee 0391"/>
        <s v="Employee 0392"/>
        <s v="Employee 0393"/>
        <s v="Employee 0394"/>
        <s v="Employee 0395"/>
        <s v="Employee 0396"/>
        <s v="Employee 0397"/>
        <s v="Employee 0398"/>
        <s v="Employee 0399"/>
        <s v="Employee 0400"/>
        <s v="Employee 0401"/>
        <s v="Employee 0402"/>
        <s v="Employee 0403"/>
        <s v="Employee 0404"/>
        <s v="Employee 0405"/>
        <s v="Employee 0406"/>
        <s v="Employee 0407"/>
        <s v="Employee 0408"/>
        <s v="Employee 0409"/>
        <s v="Employee 0410"/>
        <s v="Employee 0411"/>
        <s v="Employee 0412"/>
        <s v="Employee 0413"/>
        <s v="Employee 0414"/>
        <s v="Employee 0415"/>
        <s v="Employee 0416"/>
        <s v="Employee 0417"/>
        <s v="Employee 0418"/>
        <s v="Employee 0419"/>
        <s v="Employee 0420"/>
        <s v="Employee 0421"/>
        <s v="Employee 0422"/>
        <s v="Employee 0423"/>
        <s v="Employee 0424"/>
        <s v="Employee 0425"/>
        <s v="Employee 0426"/>
        <s v="Employee 0427"/>
        <s v="Employee 0428"/>
        <s v="Employee 0429"/>
        <s v="Employee 0430"/>
        <s v="Employee 0431"/>
        <s v="Employee 0432"/>
        <s v="Employee 0433"/>
        <s v="Employee 0434"/>
        <s v="Employee 0435"/>
        <s v="Employee 0436"/>
        <s v="Employee 0437"/>
        <s v="Employee 0438"/>
        <s v="Employee 0439"/>
        <s v="Employee 0440"/>
        <s v="Employee 0441"/>
        <s v="Employee 0442"/>
        <s v="Employee 0443"/>
        <s v="Employee 0444"/>
        <s v="Employee 0445"/>
        <s v="Employee 0446"/>
        <s v="Employee 0447"/>
        <s v="Employee 0448"/>
        <s v="Employee 0449"/>
        <s v="Employee 0450"/>
        <s v="Employee 0451"/>
        <s v="Employee 0452"/>
        <s v="Employee 0453"/>
        <s v="Employee 0454"/>
        <s v="Employee 0455"/>
        <s v="Employee 0456"/>
        <s v="Employee 0457"/>
        <s v="Employee 0458"/>
        <s v="Employee 0459"/>
        <s v="Employee 0460"/>
        <s v="Employee 0461"/>
        <s v="Employee 0462"/>
        <s v="Employee 0463"/>
        <s v="Employee 0464"/>
        <s v="Employee 0465"/>
        <s v="Employee 0466"/>
        <s v="Employee 0467"/>
        <s v="Employee 0468"/>
        <s v="Employee 0469"/>
        <s v="Employee 0470"/>
        <s v="Employee 0471"/>
        <s v="Employee 0472"/>
        <s v="Employee 0473"/>
        <s v="Employee 0474"/>
        <s v="Employee 0475"/>
        <s v="Employee 0476"/>
        <s v="Employee 0477"/>
        <s v="Employee 0478"/>
        <s v="Employee 0479"/>
        <s v="Employee 0480"/>
        <s v="Employee 0481"/>
        <s v="Employee 0482"/>
        <s v="Employee 0483"/>
        <s v="Employee 0484"/>
        <s v="Employee 0485"/>
        <s v="Employee 0486"/>
        <s v="Employee 0487"/>
        <s v="Employee 0488"/>
        <s v="Employee 0489"/>
        <s v="Employee 0490"/>
        <s v="Employee 0491"/>
        <s v="Employee 0492"/>
        <s v="Employee 0493"/>
        <s v="Employee 0494"/>
        <s v="Employee 0495"/>
        <s v="Employee 0496"/>
        <s v="Employee 0497"/>
        <s v="Employee 0498"/>
        <s v="Employee 0499"/>
        <s v="Employee 0500"/>
        <s v="Employee 0501"/>
        <s v="Employee 0502"/>
        <s v="Employee 0503"/>
        <s v="Employee 0504"/>
        <s v="Employee 0505"/>
        <s v="Employee 0506"/>
        <s v="Employee 0507"/>
        <s v="Employee 0508"/>
        <s v="Employee 0509"/>
        <s v="Employee 0510"/>
        <s v="Employee 0511"/>
        <s v="Employee 0512"/>
        <s v="Employee 0513"/>
        <s v="Employee 0514"/>
        <s v="Employee 0515"/>
        <s v="Employee 0516"/>
        <s v="Employee 0517"/>
        <s v="Employee 0518"/>
        <s v="Employee 0519"/>
        <s v="Employee 0520"/>
        <s v="Employee 0521"/>
        <s v="Employee 0522"/>
        <s v="Employee 0523"/>
        <s v="Employee 0524"/>
        <s v="Employee 0525"/>
        <s v="Employee 0526"/>
        <s v="Employee 0527"/>
        <s v="Employee 0528"/>
        <s v="Employee 0529"/>
        <s v="Employee 0530"/>
        <s v="Employee 0531"/>
        <s v="Employee 0532"/>
        <s v="Employee 0533"/>
        <s v="Employee 0534"/>
        <s v="Employee 0535"/>
        <s v="Employee 0536"/>
        <s v="Employee 0537"/>
        <s v="Employee 0538"/>
        <s v="Employee 0539"/>
        <s v="Employee 0540"/>
        <s v="Employee 0541"/>
        <s v="Employee 0542"/>
        <s v="Employee 0543"/>
        <s v="Employee 0544"/>
        <s v="Employee 0545"/>
        <s v="Employee 0546"/>
        <s v="Employee 0547"/>
        <s v="Employee 0548"/>
        <s v="Employee 0549"/>
        <s v="Employee 0550"/>
        <s v="Employee 0551"/>
        <s v="Employee 0552"/>
        <s v="Employee 0553"/>
        <s v="Employee 0554"/>
        <s v="Employee 0555"/>
        <s v="Employee 0556"/>
        <s v="Employee 0557"/>
        <s v="Employee 0558"/>
        <s v="Employee 0559"/>
        <s v="Employee 0560"/>
        <s v="Employee 0561"/>
        <s v="Employee 0562"/>
        <s v="Employee 0563"/>
        <s v="Employee 0564"/>
        <s v="Employee 0565"/>
        <s v="Employee 0566"/>
        <s v="Employee 0567"/>
        <s v="Employee 0568"/>
        <s v="Employee 0569"/>
        <s v="Employee 0570"/>
        <s v="Employee 0571"/>
        <s v="Employee 0572"/>
        <s v="Employee 0573"/>
        <s v="Employee 0574"/>
        <s v="Employee 0575"/>
        <s v="Employee 0576"/>
        <s v="Employee 0577"/>
        <s v="Employee 0578"/>
        <s v="Employee 0579"/>
        <s v="Employee 0580"/>
        <s v="Employee 0581"/>
        <s v="Employee 0582"/>
        <s v="Employee 0583"/>
        <s v="Employee 0584"/>
        <s v="Employee 0585"/>
        <s v="Employee 0586"/>
        <s v="Employee 0587"/>
        <s v="Employee 0588"/>
        <s v="Employee 0589"/>
        <s v="Employee 0590"/>
        <s v="Employee 0591"/>
        <s v="Employee 0592"/>
        <s v="Employee 0593"/>
        <s v="Employee 0594"/>
        <s v="Employee 0595"/>
        <s v="Employee 0596"/>
        <s v="Employee 0597"/>
        <s v="Employee 0598"/>
        <s v="Employee 0599"/>
        <s v="Employee 0600"/>
        <s v="Employee 0601"/>
        <s v="Employee 0602"/>
        <s v="Employee 0603"/>
        <s v="Employee 0604"/>
        <s v="Employee 0605"/>
        <s v="Employee 0606"/>
        <s v="Employee 0607"/>
        <s v="Employee 0608"/>
        <s v="Employee 0609"/>
        <s v="Employee 0610"/>
        <s v="Employee 0611"/>
        <s v="Employee 0612"/>
        <s v="Employee 0613"/>
        <s v="Employee 0614"/>
        <s v="Employee 0615"/>
        <s v="Employee 0616"/>
        <s v="Employee 0617"/>
        <s v="Employee 0618"/>
        <s v="Employee 0619"/>
        <s v="Employee 0620"/>
        <s v="Employee 0621"/>
        <s v="Employee 0622"/>
        <s v="Employee 0623"/>
        <s v="Employee 0624"/>
        <s v="Employee 0625"/>
        <s v="Employee 0626"/>
        <s v="Employee 0627"/>
        <s v="Employee 0628"/>
        <s v="Employee 0629"/>
        <s v="Employee 0630"/>
        <s v="Employee 0631"/>
        <s v="Employee 0632"/>
        <s v="Employee 0633"/>
        <s v="Employee 0634"/>
        <s v="Employee 0635"/>
        <s v="Employee 0636"/>
        <s v="Employee 0637"/>
        <s v="Employee 0638"/>
        <s v="Employee 0639"/>
        <s v="Employee 0640"/>
        <s v="Employee 0641"/>
        <s v="Employee 0642"/>
        <s v="Employee 0643"/>
        <s v="Employee 0644"/>
        <s v="Employee 0645"/>
        <s v="Employee 0646"/>
        <s v="Employee 0647"/>
        <s v="Employee 0648"/>
        <s v="Employee 0649"/>
        <s v="Employee 0650"/>
      </sharedItems>
    </cacheField>
    <cacheField name="Gender" numFmtId="0">
      <sharedItems count="2">
        <s v="Female"/>
        <s v="Male"/>
      </sharedItems>
    </cacheField>
    <cacheField name="City" numFmtId="0">
      <sharedItems count="8">
        <s v="Mohali"/>
        <s v="Delhi"/>
        <s v="Ludhiana"/>
        <s v="Pune"/>
        <s v="Noida"/>
        <s v="Chandigarh"/>
        <s v="Bengaluru"/>
        <s v="Gurugram"/>
      </sharedItems>
    </cacheField>
    <cacheField name="Department" numFmtId="0">
      <sharedItems count="7">
        <s v="IT"/>
        <s v="Finance"/>
        <s v="Marketing"/>
        <s v="Customer Support"/>
        <s v="HR"/>
        <s v="Sales"/>
        <s v="Operations"/>
      </sharedItems>
    </cacheField>
    <cacheField name="Job_Role" numFmtId="0">
      <sharedItems count="21">
        <s v="IT Support"/>
        <s v="Finance Executive"/>
        <s v="Marketing Executive"/>
        <s v="Data Analyst"/>
        <s v="Quality Analyst"/>
        <s v="Recruiter"/>
        <s v="Support Associate"/>
        <s v="Accountant"/>
        <s v="Sales Executive"/>
        <s v="Team Lead"/>
        <s v="Financial Analyst"/>
        <s v="Software Engineer"/>
        <s v="Account Manager"/>
        <s v="Digital Marketing Specialist"/>
        <s v="Operations Executive"/>
        <s v="Operations Analyst"/>
        <s v="Sales Analyst"/>
        <s v="HR Executive"/>
        <s v="Senior Support Associate"/>
        <s v="Marketing Analyst"/>
        <s v="HR Analyst"/>
      </sharedItems>
    </cacheField>
    <cacheField name="Education_Level" numFmtId="0">
      <sharedItems count="4">
        <s v="Master's"/>
        <s v="High School"/>
        <s v="Bachelor's"/>
        <s v="Diploma"/>
      </sharedItems>
    </cacheField>
    <cacheField name="Employment_Type" numFmtId="0">
      <sharedItems count="3">
        <s v="Full-time"/>
        <s v="Contract"/>
        <s v="Intern"/>
      </sharedItems>
    </cacheField>
    <cacheField name="Hire_Date" numFmtId="185">
      <sharedItems containsSemiMixedTypes="0" containsString="0" containsNonDate="0" containsDate="1" minDate="2018-01-04T00:00:00" maxDate="2025-12-08T00:00:00" count="587">
        <d v="2018-03-09T00:00:00"/>
        <d v="2023-03-10T00:00:00"/>
        <d v="2020-02-14T00:00:00"/>
        <d v="2025-08-31T00:00:00"/>
        <d v="2022-09-25T00:00:00"/>
        <d v="2020-03-08T00:00:00"/>
        <d v="2022-12-26T00:00:00"/>
        <d v="2023-07-12T00:00:00"/>
        <d v="2018-02-22T00:00:00"/>
        <d v="2024-02-17T00:00:00"/>
        <d v="2021-07-22T00:00:00"/>
        <d v="2024-11-18T00:00:00"/>
        <d v="2024-01-17T00:00:00"/>
        <d v="2025-02-11T00:00:00"/>
        <d v="2019-05-13T00:00:00"/>
        <d v="2022-05-16T00:00:00"/>
        <d v="2023-10-03T00:00:00"/>
        <d v="2023-02-15T00:00:00"/>
        <d v="2025-03-10T00:00:00"/>
        <d v="2020-04-07T00:00:00"/>
        <d v="2018-08-13T00:00:00"/>
        <d v="2025-06-22T00:00:00"/>
        <d v="2021-02-21T00:00:00"/>
        <d v="2025-07-29T00:00:00"/>
        <d v="2020-03-10T00:00:00"/>
        <d v="2024-08-18T00:00:00"/>
        <d v="2021-07-09T00:00:00"/>
        <d v="2021-09-09T00:00:00"/>
        <d v="2020-12-13T00:00:00"/>
        <d v="2022-04-11T00:00:00"/>
        <d v="2021-04-13T00:00:00"/>
        <d v="2020-07-11T00:00:00"/>
        <d v="2018-01-15T00:00:00"/>
        <d v="2020-10-14T00:00:00"/>
        <d v="2024-04-27T00:00:00"/>
        <d v="2021-03-26T00:00:00"/>
        <d v="2020-07-21T00:00:00"/>
        <d v="2022-10-13T00:00:00"/>
        <d v="2025-04-07T00:00:00"/>
        <d v="2019-02-10T00:00:00"/>
        <d v="2018-10-02T00:00:00"/>
        <d v="2020-03-15T00:00:00"/>
        <d v="2024-06-08T00:00:00"/>
        <d v="2023-11-20T00:00:00"/>
        <d v="2020-06-13T00:00:00"/>
        <d v="2018-07-31T00:00:00"/>
        <d v="2021-07-11T00:00:00"/>
        <d v="2018-03-26T00:00:00"/>
        <d v="2020-11-15T00:00:00"/>
        <d v="2020-05-22T00:00:00"/>
        <d v="2019-12-15T00:00:00"/>
        <d v="2022-03-11T00:00:00"/>
        <d v="2021-06-07T00:00:00"/>
        <d v="2019-01-18T00:00:00"/>
        <d v="2021-03-15T00:00:00"/>
        <d v="2020-01-21T00:00:00"/>
        <d v="2019-09-27T00:00:00"/>
        <d v="2019-02-19T00:00:00"/>
        <d v="2020-01-15T00:00:00"/>
        <d v="2023-09-25T00:00:00"/>
        <d v="2025-09-16T00:00:00"/>
        <d v="2023-06-24T00:00:00"/>
        <d v="2023-05-29T00:00:00"/>
        <d v="2018-08-19T00:00:00"/>
        <d v="2021-10-15T00:00:00"/>
        <d v="2022-03-29T00:00:00"/>
        <d v="2025-02-07T00:00:00"/>
        <d v="2021-10-02T00:00:00"/>
        <d v="2024-12-23T00:00:00"/>
        <d v="2025-09-12T00:00:00"/>
        <d v="2022-05-24T00:00:00"/>
        <d v="2024-08-24T00:00:00"/>
        <d v="2022-07-22T00:00:00"/>
        <d v="2023-08-25T00:00:00"/>
        <d v="2023-03-08T00:00:00"/>
        <d v="2021-08-08T00:00:00"/>
        <d v="2023-01-24T00:00:00"/>
        <d v="2019-10-29T00:00:00"/>
        <d v="2019-11-17T00:00:00"/>
        <d v="2021-07-05T00:00:00"/>
        <d v="2021-02-07T00:00:00"/>
        <d v="2021-12-09T00:00:00"/>
        <d v="2018-08-16T00:00:00"/>
        <d v="2018-07-22T00:00:00"/>
        <d v="2020-04-03T00:00:00"/>
        <d v="2019-08-08T00:00:00"/>
        <d v="2020-08-08T00:00:00"/>
        <d v="2019-09-01T00:00:00"/>
        <d v="2024-08-01T00:00:00"/>
        <d v="2022-01-27T00:00:00"/>
        <d v="2019-06-19T00:00:00"/>
        <d v="2018-08-26T00:00:00"/>
        <d v="2024-06-25T00:00:00"/>
        <d v="2023-10-23T00:00:00"/>
        <d v="2023-04-12T00:00:00"/>
        <d v="2022-06-15T00:00:00"/>
        <d v="2022-06-22T00:00:00"/>
        <d v="2021-09-12T00:00:00"/>
        <d v="2025-08-07T00:00:00"/>
        <d v="2024-05-18T00:00:00"/>
        <d v="2022-05-08T00:00:00"/>
        <d v="2020-11-20T00:00:00"/>
        <d v="2023-06-18T00:00:00"/>
        <d v="2018-06-16T00:00:00"/>
        <d v="2020-09-21T00:00:00"/>
        <d v="2020-09-04T00:00:00"/>
        <d v="2022-08-14T00:00:00"/>
        <d v="2021-11-02T00:00:00"/>
        <d v="2022-08-27T00:00:00"/>
        <d v="2020-10-30T00:00:00"/>
        <d v="2021-07-21T00:00:00"/>
        <d v="2025-07-06T00:00:00"/>
        <d v="2023-06-01T00:00:00"/>
        <d v="2023-06-21T00:00:00"/>
        <d v="2021-01-15T00:00:00"/>
        <d v="2019-06-26T00:00:00"/>
        <d v="2021-02-15T00:00:00"/>
        <d v="2023-04-02T00:00:00"/>
        <d v="2021-01-22T00:00:00"/>
        <d v="2020-04-06T00:00:00"/>
        <d v="2025-10-15T00:00:00"/>
        <d v="2023-08-30T00:00:00"/>
        <d v="2018-04-18T00:00:00"/>
        <d v="2024-03-28T00:00:00"/>
        <d v="2020-07-17T00:00:00"/>
        <d v="2018-04-08T00:00:00"/>
        <d v="2019-01-24T00:00:00"/>
        <d v="2024-06-03T00:00:00"/>
        <d v="2024-10-14T00:00:00"/>
        <d v="2023-09-21T00:00:00"/>
        <d v="2023-09-16T00:00:00"/>
        <d v="2020-05-03T00:00:00"/>
        <d v="2019-08-11T00:00:00"/>
        <d v="2020-08-04T00:00:00"/>
        <d v="2019-09-05T00:00:00"/>
        <d v="2024-12-02T00:00:00"/>
        <d v="2023-05-20T00:00:00"/>
        <d v="2019-02-23T00:00:00"/>
        <d v="2018-09-12T00:00:00"/>
        <d v="2023-03-25T00:00:00"/>
        <d v="2025-02-15T00:00:00"/>
        <d v="2023-12-05T00:00:00"/>
        <d v="2023-08-01T00:00:00"/>
        <d v="2023-10-08T00:00:00"/>
        <d v="2021-10-18T00:00:00"/>
        <d v="2025-10-24T00:00:00"/>
        <d v="2019-11-01T00:00:00"/>
        <d v="2020-05-06T00:00:00"/>
        <d v="2022-12-13T00:00:00"/>
        <d v="2020-02-26T00:00:00"/>
        <d v="2018-09-26T00:00:00"/>
        <d v="2025-05-29T00:00:00"/>
        <d v="2022-11-14T00:00:00"/>
        <d v="2025-05-06T00:00:00"/>
        <d v="2021-04-17T00:00:00"/>
        <d v="2019-12-27T00:00:00"/>
        <d v="2019-06-10T00:00:00"/>
        <d v="2019-05-30T00:00:00"/>
        <d v="2019-10-22T00:00:00"/>
        <d v="2023-02-18T00:00:00"/>
        <d v="2022-07-08T00:00:00"/>
        <d v="2019-09-04T00:00:00"/>
        <d v="2019-05-22T00:00:00"/>
        <d v="2022-12-20T00:00:00"/>
        <d v="2022-10-30T00:00:00"/>
        <d v="2019-04-24T00:00:00"/>
        <d v="2025-04-10T00:00:00"/>
        <d v="2019-10-15T00:00:00"/>
        <d v="2018-09-21T00:00:00"/>
        <d v="2025-08-25T00:00:00"/>
        <d v="2024-04-03T00:00:00"/>
        <d v="2020-03-07T00:00:00"/>
        <d v="2021-12-18T00:00:00"/>
        <d v="2020-09-28T00:00:00"/>
        <d v="2018-12-18T00:00:00"/>
        <d v="2018-08-09T00:00:00"/>
        <d v="2025-06-27T00:00:00"/>
        <d v="2025-08-16T00:00:00"/>
        <d v="2021-11-06T00:00:00"/>
        <d v="2023-09-20T00:00:00"/>
        <d v="2023-02-03T00:00:00"/>
        <d v="2022-10-16T00:00:00"/>
        <d v="2024-12-13T00:00:00"/>
        <d v="2023-03-29T00:00:00"/>
        <d v="2019-02-25T00:00:00"/>
        <d v="2023-02-12T00:00:00"/>
        <d v="2018-04-12T00:00:00"/>
        <d v="2018-01-23T00:00:00"/>
        <d v="2025-01-05T00:00:00"/>
        <d v="2022-11-28T00:00:00"/>
        <d v="2023-09-22T00:00:00"/>
        <d v="2025-11-17T00:00:00"/>
        <d v="2022-02-21T00:00:00"/>
        <d v="2020-12-26T00:00:00"/>
        <d v="2024-10-30T00:00:00"/>
        <d v="2018-03-04T00:00:00"/>
        <d v="2021-10-26T00:00:00"/>
        <d v="2024-07-11T00:00:00"/>
        <d v="2023-06-06T00:00:00"/>
        <d v="2021-09-29T00:00:00"/>
        <d v="2018-05-23T00:00:00"/>
        <d v="2023-02-25T00:00:00"/>
        <d v="2025-09-10T00:00:00"/>
        <d v="2025-09-19T00:00:00"/>
        <d v="2020-12-09T00:00:00"/>
        <d v="2023-10-18T00:00:00"/>
        <d v="2018-02-06T00:00:00"/>
        <d v="2019-07-02T00:00:00"/>
        <d v="2021-01-03T00:00:00"/>
        <d v="2022-05-19T00:00:00"/>
        <d v="2024-07-14T00:00:00"/>
        <d v="2018-07-21T00:00:00"/>
        <d v="2018-04-05T00:00:00"/>
        <d v="2025-02-10T00:00:00"/>
        <d v="2020-11-11T00:00:00"/>
        <d v="2025-09-03T00:00:00"/>
        <d v="2019-11-16T00:00:00"/>
        <d v="2019-05-26T00:00:00"/>
        <d v="2022-01-25T00:00:00"/>
        <d v="2020-08-11T00:00:00"/>
        <d v="2025-08-20T00:00:00"/>
        <d v="2025-07-20T00:00:00"/>
        <d v="2025-10-23T00:00:00"/>
        <d v="2025-05-28T00:00:00"/>
        <d v="2023-01-31T00:00:00"/>
        <d v="2021-10-04T00:00:00"/>
        <d v="2023-02-20T00:00:00"/>
        <d v="2021-03-06T00:00:00"/>
        <d v="2025-06-16T00:00:00"/>
        <d v="2021-07-20T00:00:00"/>
        <d v="2023-07-21T00:00:00"/>
        <d v="2018-04-23T00:00:00"/>
        <d v="2023-01-21T00:00:00"/>
        <d v="2022-10-12T00:00:00"/>
        <d v="2018-06-11T00:00:00"/>
        <d v="2025-01-16T00:00:00"/>
        <d v="2019-09-06T00:00:00"/>
        <d v="2025-08-06T00:00:00"/>
        <d v="2021-08-18T00:00:00"/>
        <d v="2019-10-19T00:00:00"/>
        <d v="2024-12-15T00:00:00"/>
        <d v="2020-12-04T00:00:00"/>
        <d v="2018-12-11T00:00:00"/>
        <d v="2020-10-06T00:00:00"/>
        <d v="2022-10-15T00:00:00"/>
        <d v="2020-03-28T00:00:00"/>
        <d v="2021-12-31T00:00:00"/>
        <d v="2023-09-14T00:00:00"/>
        <d v="2022-05-27T00:00:00"/>
        <d v="2018-03-19T00:00:00"/>
        <d v="2025-01-18T00:00:00"/>
        <d v="2019-12-01T00:00:00"/>
        <d v="2024-02-08T00:00:00"/>
        <d v="2023-08-03T00:00:00"/>
        <d v="2025-07-03T00:00:00"/>
        <d v="2021-01-13T00:00:00"/>
        <d v="2024-08-08T00:00:00"/>
        <d v="2022-04-20T00:00:00"/>
        <d v="2018-01-14T00:00:00"/>
        <d v="2020-07-25T00:00:00"/>
        <d v="2023-09-29T00:00:00"/>
        <d v="2025-02-25T00:00:00"/>
        <d v="2023-01-16T00:00:00"/>
        <d v="2019-03-21T00:00:00"/>
        <d v="2022-04-27T00:00:00"/>
        <d v="2022-06-11T00:00:00"/>
        <d v="2024-08-04T00:00:00"/>
        <d v="2022-07-15T00:00:00"/>
        <d v="2018-01-21T00:00:00"/>
        <d v="2025-02-24T00:00:00"/>
        <d v="2023-07-05T00:00:00"/>
        <d v="2018-11-05T00:00:00"/>
        <d v="2019-01-22T00:00:00"/>
        <d v="2020-12-07T00:00:00"/>
        <d v="2019-03-13T00:00:00"/>
        <d v="2019-03-26T00:00:00"/>
        <d v="2021-04-18T00:00:00"/>
        <d v="2019-08-23T00:00:00"/>
        <d v="2019-12-07T00:00:00"/>
        <d v="2023-02-17T00:00:00"/>
        <d v="2018-09-04T00:00:00"/>
        <d v="2018-10-30T00:00:00"/>
        <d v="2020-09-11T00:00:00"/>
        <d v="2020-03-14T00:00:00"/>
        <d v="2020-02-16T00:00:00"/>
        <d v="2022-06-01T00:00:00"/>
        <d v="2025-06-28T00:00:00"/>
        <d v="2024-12-03T00:00:00"/>
        <d v="2019-10-20T00:00:00"/>
        <d v="2020-10-05T00:00:00"/>
        <d v="2021-06-01T00:00:00"/>
        <d v="2021-05-31T00:00:00"/>
        <d v="2022-11-13T00:00:00"/>
        <d v="2024-07-19T00:00:00"/>
        <d v="2019-11-18T00:00:00"/>
        <d v="2020-07-03T00:00:00"/>
        <d v="2024-02-07T00:00:00"/>
        <d v="2022-05-03T00:00:00"/>
        <d v="2022-10-09T00:00:00"/>
        <d v="2023-03-06T00:00:00"/>
        <d v="2018-08-10T00:00:00"/>
        <d v="2020-01-29T00:00:00"/>
        <d v="2024-07-05T00:00:00"/>
        <d v="2025-05-26T00:00:00"/>
        <d v="2020-08-10T00:00:00"/>
        <d v="2018-11-10T00:00:00"/>
        <d v="2025-08-15T00:00:00"/>
        <d v="2021-05-27T00:00:00"/>
        <d v="2023-12-20T00:00:00"/>
        <d v="2024-09-17T00:00:00"/>
        <d v="2019-10-08T00:00:00"/>
        <d v="2024-02-23T00:00:00"/>
        <d v="2024-09-05T00:00:00"/>
        <d v="2020-08-27T00:00:00"/>
        <d v="2023-08-23T00:00:00"/>
        <d v="2019-08-14T00:00:00"/>
        <d v="2019-03-01T00:00:00"/>
        <d v="2022-07-07T00:00:00"/>
        <d v="2018-01-04T00:00:00"/>
        <d v="2021-12-26T00:00:00"/>
        <d v="2023-10-15T00:00:00"/>
        <d v="2022-09-17T00:00:00"/>
        <d v="2024-01-04T00:00:00"/>
        <d v="2022-02-01T00:00:00"/>
        <d v="2024-05-22T00:00:00"/>
        <d v="2018-10-25T00:00:00"/>
        <d v="2023-03-26T00:00:00"/>
        <d v="2019-08-01T00:00:00"/>
        <d v="2024-10-19T00:00:00"/>
        <d v="2020-10-03T00:00:00"/>
        <d v="2018-09-22T00:00:00"/>
        <d v="2020-11-04T00:00:00"/>
        <d v="2019-11-23T00:00:00"/>
        <d v="2022-08-31T00:00:00"/>
        <d v="2020-07-09T00:00:00"/>
        <d v="2020-08-12T00:00:00"/>
        <d v="2019-06-07T00:00:00"/>
        <d v="2025-02-01T00:00:00"/>
        <d v="2018-04-15T00:00:00"/>
        <d v="2019-07-20T00:00:00"/>
        <d v="2019-11-04T00:00:00"/>
        <d v="2018-06-27T00:00:00"/>
        <d v="2024-03-07T00:00:00"/>
        <d v="2025-04-06T00:00:00"/>
        <d v="2024-05-20T00:00:00"/>
        <d v="2023-12-16T00:00:00"/>
        <d v="2023-08-21T00:00:00"/>
        <d v="2025-05-23T00:00:00"/>
        <d v="2021-10-21T00:00:00"/>
        <d v="2022-10-04T00:00:00"/>
        <d v="2022-01-04T00:00:00"/>
        <d v="2024-01-01T00:00:00"/>
        <d v="2021-05-21T00:00:00"/>
        <d v="2025-03-15T00:00:00"/>
        <d v="2020-02-05T00:00:00"/>
        <d v="2024-04-14T00:00:00"/>
        <d v="2018-02-09T00:00:00"/>
        <d v="2020-03-24T00:00:00"/>
        <d v="2024-05-23T00:00:00"/>
        <d v="2025-11-10T00:00:00"/>
        <d v="2023-04-20T00:00:00"/>
        <d v="2021-05-26T00:00:00"/>
        <d v="2019-07-12T00:00:00"/>
        <d v="2024-09-07T00:00:00"/>
        <d v="2021-11-19T00:00:00"/>
        <d v="2020-02-22T00:00:00"/>
        <d v="2020-05-23T00:00:00"/>
        <d v="2025-11-27T00:00:00"/>
        <d v="2020-09-20T00:00:00"/>
        <d v="2021-09-14T00:00:00"/>
        <d v="2023-03-19T00:00:00"/>
        <d v="2022-03-10T00:00:00"/>
        <d v="2022-12-16T00:00:00"/>
        <d v="2022-09-07T00:00:00"/>
        <d v="2025-11-14T00:00:00"/>
        <d v="2020-11-27T00:00:00"/>
        <d v="2023-03-15T00:00:00"/>
        <d v="2018-11-09T00:00:00"/>
        <d v="2023-12-18T00:00:00"/>
        <d v="2024-07-25T00:00:00"/>
        <d v="2022-11-20T00:00:00"/>
        <d v="2020-11-12T00:00:00"/>
        <d v="2024-12-16T00:00:00"/>
        <d v="2024-12-29T00:00:00"/>
        <d v="2019-09-30T00:00:00"/>
        <d v="2018-08-27T00:00:00"/>
        <d v="2018-05-08T00:00:00"/>
        <d v="2022-12-03T00:00:00"/>
        <d v="2023-09-11T00:00:00"/>
        <d v="2022-11-27T00:00:00"/>
        <d v="2018-11-11T00:00:00"/>
        <d v="2023-06-17T00:00:00"/>
        <d v="2019-04-08T00:00:00"/>
        <d v="2020-03-02T00:00:00"/>
        <d v="2021-10-06T00:00:00"/>
        <d v="2018-06-20T00:00:00"/>
        <d v="2020-06-02T00:00:00"/>
        <d v="2021-04-24T00:00:00"/>
        <d v="2020-10-12T00:00:00"/>
        <d v="2025-01-27T00:00:00"/>
        <d v="2018-01-07T00:00:00"/>
        <d v="2018-12-13T00:00:00"/>
        <d v="2019-10-01T00:00:00"/>
        <d v="2024-10-26T00:00:00"/>
        <d v="2023-09-23T00:00:00"/>
        <d v="2023-04-08T00:00:00"/>
        <d v="2021-03-08T00:00:00"/>
        <d v="2024-08-12T00:00:00"/>
        <d v="2024-11-20T00:00:00"/>
        <d v="2020-12-27T00:00:00"/>
        <d v="2019-11-03T00:00:00"/>
        <d v="2021-11-14T00:00:00"/>
        <d v="2022-04-16T00:00:00"/>
        <d v="2024-07-20T00:00:00"/>
        <d v="2021-07-24T00:00:00"/>
        <d v="2021-12-11T00:00:00"/>
        <d v="2021-03-11T00:00:00"/>
        <d v="2023-05-24T00:00:00"/>
        <d v="2019-05-12T00:00:00"/>
        <d v="2019-09-16T00:00:00"/>
        <d v="2018-07-19T00:00:00"/>
        <d v="2021-06-24T00:00:00"/>
        <d v="2021-02-17T00:00:00"/>
        <d v="2025-03-21T00:00:00"/>
        <d v="2022-01-26T00:00:00"/>
        <d v="2018-02-08T00:00:00"/>
        <d v="2021-11-12T00:00:00"/>
        <d v="2020-08-15T00:00:00"/>
        <d v="2019-05-05T00:00:00"/>
        <d v="2024-12-09T00:00:00"/>
        <d v="2025-10-12T00:00:00"/>
        <d v="2019-12-12T00:00:00"/>
        <d v="2018-01-13T00:00:00"/>
        <d v="2025-01-31T00:00:00"/>
        <d v="2018-10-05T00:00:00"/>
        <d v="2024-07-24T00:00:00"/>
        <d v="2018-03-02T00:00:00"/>
        <d v="2020-08-29T00:00:00"/>
        <d v="2025-05-14T00:00:00"/>
        <d v="2019-08-05T00:00:00"/>
        <d v="2022-12-11T00:00:00"/>
        <d v="2020-03-27T00:00:00"/>
        <d v="2021-09-23T00:00:00"/>
        <d v="2020-07-13T00:00:00"/>
        <d v="2024-11-15T00:00:00"/>
        <d v="2018-02-14T00:00:00"/>
        <d v="2020-03-31T00:00:00"/>
        <d v="2021-09-02T00:00:00"/>
        <d v="2023-07-11T00:00:00"/>
        <d v="2025-12-08T00:00:00"/>
        <d v="2022-09-11T00:00:00"/>
        <d v="2023-04-06T00:00:00"/>
        <d v="2022-02-27T00:00:00"/>
        <d v="2025-05-19T00:00:00"/>
        <d v="2023-12-08T00:00:00"/>
        <d v="2022-09-10T00:00:00"/>
        <d v="2025-11-25T00:00:00"/>
        <d v="2019-11-22T00:00:00"/>
        <d v="2022-09-08T00:00:00"/>
        <d v="2022-03-06T00:00:00"/>
        <d v="2024-08-26T00:00:00"/>
        <d v="2023-01-02T00:00:00"/>
        <d v="2020-02-29T00:00:00"/>
        <d v="2021-04-20T00:00:00"/>
        <d v="2021-05-07T00:00:00"/>
        <d v="2020-06-27T00:00:00"/>
        <d v="2018-04-01T00:00:00"/>
        <d v="2025-03-12T00:00:00"/>
        <d v="2019-11-27T00:00:00"/>
        <d v="2018-11-02T00:00:00"/>
        <d v="2019-11-30T00:00:00"/>
        <d v="2023-05-14T00:00:00"/>
        <d v="2020-06-24T00:00:00"/>
        <d v="2023-03-07T00:00:00"/>
        <d v="2021-05-09T00:00:00"/>
        <d v="2019-03-03T00:00:00"/>
        <d v="2025-08-09T00:00:00"/>
        <d v="2019-06-02T00:00:00"/>
        <d v="2024-10-16T00:00:00"/>
        <d v="2022-06-10T00:00:00"/>
        <d v="2021-09-24T00:00:00"/>
        <d v="2018-12-01T00:00:00"/>
        <d v="2024-03-15T00:00:00"/>
        <d v="2022-06-21T00:00:00"/>
        <d v="2019-12-08T00:00:00"/>
        <d v="2021-04-12T00:00:00"/>
        <d v="2021-07-04T00:00:00"/>
        <d v="2022-07-03T00:00:00"/>
        <d v="2022-10-05T00:00:00"/>
        <d v="2021-01-01T00:00:00"/>
        <d v="2023-10-19T00:00:00"/>
        <d v="2019-11-24T00:00:00"/>
        <d v="2022-07-12T00:00:00"/>
        <d v="2018-11-17T00:00:00"/>
        <d v="2020-07-01T00:00:00"/>
        <d v="2018-04-16T00:00:00"/>
        <d v="2020-03-05T00:00:00"/>
        <d v="2024-08-21T00:00:00"/>
        <d v="2019-07-23T00:00:00"/>
        <d v="2025-01-24T00:00:00"/>
        <d v="2022-03-22T00:00:00"/>
        <d v="2018-11-12T00:00:00"/>
        <d v="2020-07-04T00:00:00"/>
        <d v="2024-03-25T00:00:00"/>
        <d v="2025-10-20T00:00:00"/>
        <d v="2019-10-24T00:00:00"/>
        <d v="2018-03-24T00:00:00"/>
        <d v="2023-12-23T00:00:00"/>
        <d v="2018-08-06T00:00:00"/>
        <d v="2024-09-13T00:00:00"/>
        <d v="2023-07-29T00:00:00"/>
        <d v="2022-06-16T00:00:00"/>
        <d v="2019-01-19T00:00:00"/>
        <d v="2025-05-30T00:00:00"/>
        <d v="2025-07-30T00:00:00"/>
        <d v="2024-11-27T00:00:00"/>
        <d v="2020-04-29T00:00:00"/>
        <d v="2018-01-12T00:00:00"/>
        <d v="2023-06-30T00:00:00"/>
        <d v="2024-02-28T00:00:00"/>
        <d v="2021-12-22T00:00:00"/>
        <d v="2019-11-12T00:00:00"/>
        <d v="2023-12-24T00:00:00"/>
        <d v="2018-03-08T00:00:00"/>
        <d v="2019-10-12T00:00:00"/>
        <d v="2021-12-19T00:00:00"/>
        <d v="2018-11-23T00:00:00"/>
        <d v="2022-02-03T00:00:00"/>
        <d v="2023-12-22T00:00:00"/>
        <d v="2020-05-04T00:00:00"/>
        <d v="2023-02-22T00:00:00"/>
        <d v="2022-05-07T00:00:00"/>
        <d v="2021-12-16T00:00:00"/>
        <d v="2019-02-27T00:00:00"/>
        <d v="2019-01-13T00:00:00"/>
        <d v="2022-01-30T00:00:00"/>
        <d v="2019-02-26T00:00:00"/>
        <d v="2023-07-13T00:00:00"/>
        <d v="2022-10-10T00:00:00"/>
        <d v="2024-12-08T00:00:00"/>
        <d v="2018-04-19T00:00:00"/>
        <d v="2018-09-29T00:00:00"/>
        <d v="2018-05-15T00:00:00"/>
        <d v="2020-01-20T00:00:00"/>
        <d v="2020-05-26T00:00:00"/>
        <d v="2019-06-16T00:00:00"/>
        <d v="2020-09-13T00:00:00"/>
        <d v="2020-07-28T00:00:00"/>
        <d v="2023-05-27T00:00:00"/>
        <d v="2021-10-27T00:00:00"/>
        <d v="2023-02-04T00:00:00"/>
        <d v="2018-12-19T00:00:00"/>
        <d v="2022-03-20T00:00:00"/>
        <d v="2019-07-01T00:00:00"/>
        <d v="2020-04-10T00:00:00"/>
        <d v="2021-12-04T00:00:00"/>
        <d v="2022-05-15T00:00:00"/>
        <d v="2022-07-09T00:00:00"/>
        <d v="2025-09-14T00:00:00"/>
        <d v="2025-07-31T00:00:00"/>
        <d v="2022-12-31T00:00:00"/>
        <d v="2024-02-14T00:00:00"/>
        <d v="2021-02-03T00:00:00"/>
        <d v="2025-02-06T00:00:00"/>
        <d v="2025-10-01T00:00:00"/>
        <d v="2020-12-21T00:00:00"/>
        <d v="2022-04-08T00:00:00"/>
        <d v="2023-03-23T00:00:00"/>
        <d v="2020-03-23T00:00:00"/>
        <d v="2024-12-25T00:00:00"/>
        <d v="2025-07-14T00:00:00"/>
        <d v="2021-09-21T00:00:00"/>
        <d v="2024-11-07T00:00:00"/>
        <d v="2023-09-01T00:00:00"/>
        <d v="2022-08-02T00:00:00"/>
        <d v="2021-06-30T00:00:00"/>
        <d v="2021-11-03T00:00:00"/>
        <d v="2024-09-02T00:00:00"/>
        <d v="2021-04-11T00:00:00"/>
        <d v="2025-04-04T00:00:00"/>
        <d v="2025-11-13T00:00:00"/>
        <d v="2020-02-11T00:00:00"/>
        <d v="2020-09-02T00:00:00"/>
        <d v="2025-11-01T00:00:00"/>
        <d v="2021-06-04T00:00:00"/>
        <d v="2019-11-19T00:00:00"/>
        <d v="2019-10-21T00:00:00"/>
      </sharedItems>
    </cacheField>
    <cacheField name="Exit_Date" numFmtId="185">
      <sharedItems containsString="0" containsBlank="1" containsNonDate="0" containsDate="1" minDate="2018-09-02T00:00:00" maxDate="2025-12-31T00:00:00" count="127">
        <m/>
        <d v="2021-05-15T00:00:00"/>
        <d v="2022-04-29T00:00:00"/>
        <d v="2025-07-14T00:00:00"/>
        <d v="2025-08-31T00:00:00"/>
        <d v="2025-06-23T00:00:00"/>
        <d v="2025-10-12T00:00:00"/>
        <d v="2024-07-13T00:00:00"/>
        <d v="2022-02-28T00:00:00"/>
        <d v="2023-06-13T00:00:00"/>
        <d v="2024-02-22T00:00:00"/>
        <d v="2024-12-06T00:00:00"/>
        <d v="2025-08-09T00:00:00"/>
        <d v="2025-11-20T00:00:00"/>
        <d v="2025-08-19T00:00:00"/>
        <d v="2024-11-30T00:00:00"/>
        <d v="2025-06-10T00:00:00"/>
        <d v="2025-04-08T00:00:00"/>
        <d v="2025-04-28T00:00:00"/>
        <d v="2024-11-23T00:00:00"/>
        <d v="2022-10-28T00:00:00"/>
        <d v="2024-10-06T00:00:00"/>
        <d v="2024-04-18T00:00:00"/>
        <d v="2020-04-23T00:00:00"/>
        <d v="2024-04-15T00:00:00"/>
        <d v="2024-03-12T00:00:00"/>
        <d v="2023-02-16T00:00:00"/>
        <d v="2023-09-21T00:00:00"/>
        <d v="2024-09-04T00:00:00"/>
        <d v="2022-01-31T00:00:00"/>
        <d v="2024-05-11T00:00:00"/>
        <d v="2025-12-31T00:00:00"/>
        <d v="2019-01-05T00:00:00"/>
        <d v="2025-07-23T00:00:00"/>
        <d v="2018-09-02T00:00:00"/>
        <d v="2024-06-27T00:00:00"/>
        <d v="2024-01-11T00:00:00"/>
        <d v="2022-08-17T00:00:00"/>
        <d v="2024-09-17T00:00:00"/>
        <d v="2021-10-03T00:00:00"/>
        <d v="2019-04-19T00:00:00"/>
        <d v="2025-01-05T00:00:00"/>
        <d v="2023-08-22T00:00:00"/>
        <d v="2023-02-26T00:00:00"/>
        <d v="2021-03-06T00:00:00"/>
        <d v="2024-11-09T00:00:00"/>
        <d v="2021-10-08T00:00:00"/>
        <d v="2023-10-27T00:00:00"/>
        <d v="2025-11-08T00:00:00"/>
        <d v="2025-02-09T00:00:00"/>
        <d v="2023-03-17T00:00:00"/>
        <d v="2025-12-18T00:00:00"/>
        <d v="2024-01-22T00:00:00"/>
        <d v="2022-03-06T00:00:00"/>
        <d v="2021-06-08T00:00:00"/>
        <d v="2025-02-13T00:00:00"/>
        <d v="2020-12-10T00:00:00"/>
        <d v="2024-12-30T00:00:00"/>
        <d v="2023-11-26T00:00:00"/>
        <d v="2023-05-13T00:00:00"/>
        <d v="2021-07-15T00:00:00"/>
        <d v="2023-10-13T00:00:00"/>
        <d v="2024-11-24T00:00:00"/>
        <d v="2025-12-30T00:00:00"/>
        <d v="2018-10-14T00:00:00"/>
        <d v="2024-09-14T00:00:00"/>
        <d v="2025-06-03T00:00:00"/>
        <d v="2022-04-30T00:00:00"/>
        <d v="2020-12-30T00:00:00"/>
        <d v="2021-12-19T00:00:00"/>
        <d v="2023-07-07T00:00:00"/>
        <d v="2021-05-27T00:00:00"/>
        <d v="2024-04-21T00:00:00"/>
        <d v="2019-07-16T00:00:00"/>
        <d v="2021-03-09T00:00:00"/>
        <d v="2023-06-17T00:00:00"/>
        <d v="2022-08-03T00:00:00"/>
        <d v="2024-07-25T00:00:00"/>
        <d v="2025-05-18T00:00:00"/>
        <d v="2021-12-14T00:00:00"/>
        <d v="2024-01-12T00:00:00"/>
        <d v="2022-11-11T00:00:00"/>
        <d v="2019-04-16T00:00:00"/>
        <d v="2024-09-25T00:00:00"/>
        <d v="2020-12-16T00:00:00"/>
        <d v="2024-08-21T00:00:00"/>
        <d v="2023-07-23T00:00:00"/>
        <d v="2022-08-05T00:00:00"/>
        <d v="2025-04-21T00:00:00"/>
        <d v="2025-11-05T00:00:00"/>
        <d v="2024-08-05T00:00:00"/>
        <d v="2022-06-04T00:00:00"/>
        <d v="2024-08-18T00:00:00"/>
        <d v="2025-12-20T00:00:00"/>
        <d v="2020-01-11T00:00:00"/>
        <d v="2019-10-22T00:00:00"/>
        <d v="2025-12-04T00:00:00"/>
        <d v="2022-03-17T00:00:00"/>
        <d v="2022-03-26T00:00:00"/>
        <d v="2025-04-23T00:00:00"/>
        <d v="2023-11-01T00:00:00"/>
        <d v="2025-11-15T00:00:00"/>
        <d v="2025-03-07T00:00:00"/>
        <d v="2023-08-02T00:00:00"/>
        <d v="2022-12-16T00:00:00"/>
        <d v="2022-03-01T00:00:00"/>
        <d v="2022-11-04T00:00:00"/>
        <d v="2025-01-25T00:00:00"/>
        <d v="2025-03-10T00:00:00"/>
        <d v="2024-10-25T00:00:00"/>
        <d v="2024-01-07T00:00:00"/>
        <d v="2025-10-03T00:00:00"/>
        <d v="2024-10-15T00:00:00"/>
        <d v="2024-09-16T00:00:00"/>
        <d v="2020-10-29T00:00:00"/>
        <d v="2025-09-03T00:00:00"/>
        <d v="2024-06-29T00:00:00"/>
        <d v="2021-10-06T00:00:00"/>
        <d v="2021-05-03T00:00:00"/>
        <d v="2024-11-03T00:00:00"/>
        <d v="2025-07-09T00:00:00"/>
        <d v="2020-03-04T00:00:00"/>
        <d v="2025-12-28T00:00:00"/>
        <d v="2024-05-21T00:00:00"/>
        <d v="2021-06-23T00:00:00"/>
        <d v="2023-07-27T00:00:00"/>
        <d v="2025-05-15T00:00:00"/>
      </sharedItems>
    </cacheField>
    <cacheField name="Employment_Status" numFmtId="0">
      <sharedItems count="2">
        <s v="Active"/>
        <s v="Resigned"/>
      </sharedItems>
    </cacheField>
    <cacheField name="Monthly_Salary_INR" numFmtId="186">
      <sharedItems containsSemiMixedTypes="0" containsString="0" containsNumber="1" containsInteger="1" minValue="18000" maxValue="76400" count="317">
        <n v="44700"/>
        <n v="42200"/>
        <n v="42300"/>
        <n v="59600"/>
        <n v="41200"/>
        <n v="32800"/>
        <n v="23300"/>
        <n v="39000"/>
        <n v="45600"/>
        <n v="62800"/>
        <n v="28200"/>
        <n v="43500"/>
        <n v="45300"/>
        <n v="27200"/>
        <n v="62200"/>
        <n v="37000"/>
        <n v="68200"/>
        <n v="58200"/>
        <n v="36600"/>
        <n v="21300"/>
        <n v="38800"/>
        <n v="27000"/>
        <n v="43300"/>
        <n v="46800"/>
        <n v="70900"/>
        <n v="43900"/>
        <n v="39700"/>
        <n v="33800"/>
        <n v="35600"/>
        <n v="49900"/>
        <n v="47100"/>
        <n v="23400"/>
        <n v="20800"/>
        <n v="53700"/>
        <n v="32300"/>
        <n v="21100"/>
        <n v="55500"/>
        <n v="28100"/>
        <n v="51100"/>
        <n v="37900"/>
        <n v="40100"/>
        <n v="50600"/>
        <n v="51300"/>
        <n v="38500"/>
        <n v="39600"/>
        <n v="28300"/>
        <n v="21600"/>
        <n v="55100"/>
        <n v="72400"/>
        <n v="30600"/>
        <n v="25000"/>
        <n v="35100"/>
        <n v="40200"/>
        <n v="48900"/>
        <n v="30300"/>
        <n v="39400"/>
        <n v="44000"/>
        <n v="57100"/>
        <n v="49800"/>
        <n v="29900"/>
        <n v="40900"/>
        <n v="36100"/>
        <n v="62700"/>
        <n v="53200"/>
        <n v="48500"/>
        <n v="31200"/>
        <n v="54000"/>
        <n v="35400"/>
        <n v="31700"/>
        <n v="37500"/>
        <n v="56300"/>
        <n v="18000"/>
        <n v="27700"/>
        <n v="58900"/>
        <n v="29200"/>
        <n v="58300"/>
        <n v="35500"/>
        <n v="30900"/>
        <n v="59400"/>
        <n v="30200"/>
        <n v="41100"/>
        <n v="46700"/>
        <n v="33500"/>
        <n v="23900"/>
        <n v="37600"/>
        <n v="27900"/>
        <n v="58700"/>
        <n v="56600"/>
        <n v="37200"/>
        <n v="36500"/>
        <n v="55200"/>
        <n v="41300"/>
        <n v="45900"/>
        <n v="48800"/>
        <n v="34900"/>
        <n v="58800"/>
        <n v="40800"/>
        <n v="50000"/>
        <n v="61300"/>
        <n v="68600"/>
        <n v="37300"/>
        <n v="43000"/>
        <n v="69000"/>
        <n v="43700"/>
        <n v="24200"/>
        <n v="57300"/>
        <n v="22100"/>
        <n v="47600"/>
        <n v="37800"/>
        <n v="39100"/>
        <n v="39500"/>
        <n v="25400"/>
        <n v="35000"/>
        <n v="33000"/>
        <n v="48100"/>
        <n v="57200"/>
        <n v="38700"/>
        <n v="35900"/>
        <n v="41000"/>
        <n v="34300"/>
        <n v="41700"/>
        <n v="56500"/>
        <n v="32100"/>
        <n v="49200"/>
        <n v="21200"/>
        <n v="40400"/>
        <n v="33200"/>
        <n v="31100"/>
        <n v="43400"/>
        <n v="34500"/>
        <n v="33900"/>
        <n v="64200"/>
        <n v="46300"/>
        <n v="34700"/>
        <n v="27600"/>
        <n v="32000"/>
        <n v="30000"/>
        <n v="21400"/>
        <n v="27800"/>
        <n v="31600"/>
        <n v="34800"/>
        <n v="36700"/>
        <n v="51400"/>
        <n v="26100"/>
        <n v="36000"/>
        <n v="23200"/>
        <n v="47800"/>
        <n v="58100"/>
        <n v="47300"/>
        <n v="25600"/>
        <n v="34000"/>
        <n v="50400"/>
        <n v="43600"/>
        <n v="38000"/>
        <n v="35200"/>
        <n v="33100"/>
        <n v="44500"/>
        <n v="41800"/>
        <n v="43800"/>
        <n v="32400"/>
        <n v="22700"/>
        <n v="36400"/>
        <n v="65500"/>
        <n v="25100"/>
        <n v="60500"/>
        <n v="25800"/>
        <n v="21800"/>
        <n v="19300"/>
        <n v="49600"/>
        <n v="55300"/>
        <n v="29000"/>
        <n v="42500"/>
        <n v="34200"/>
        <n v="42900"/>
        <n v="53800"/>
        <n v="48000"/>
        <n v="27300"/>
        <n v="36200"/>
        <n v="43100"/>
        <n v="47400"/>
        <n v="38100"/>
        <n v="45800"/>
        <n v="32900"/>
        <n v="29600"/>
        <n v="66100"/>
        <n v="36800"/>
        <n v="46000"/>
        <n v="26300"/>
        <n v="66700"/>
        <n v="75600"/>
        <n v="64900"/>
        <n v="32700"/>
        <n v="45700"/>
        <n v="60800"/>
        <n v="19000"/>
        <n v="61400"/>
        <n v="55900"/>
        <n v="48600"/>
        <n v="29300"/>
        <n v="45200"/>
        <n v="27100"/>
        <n v="30700"/>
        <n v="61200"/>
        <n v="50500"/>
        <n v="28500"/>
        <n v="41600"/>
        <n v="56000"/>
        <n v="66900"/>
        <n v="26600"/>
        <n v="38200"/>
        <n v="38300"/>
        <n v="50200"/>
        <n v="53400"/>
        <n v="39300"/>
        <n v="65700"/>
        <n v="44800"/>
        <n v="64300"/>
        <n v="25200"/>
        <n v="57700"/>
        <n v="44900"/>
        <n v="24000"/>
        <n v="26700"/>
        <n v="61100"/>
        <n v="31500"/>
        <n v="48400"/>
        <n v="28600"/>
        <n v="40600"/>
        <n v="53900"/>
        <n v="22600"/>
        <n v="33700"/>
        <n v="29700"/>
        <n v="33600"/>
        <n v="63200"/>
        <n v="60200"/>
        <n v="49300"/>
        <n v="51800"/>
        <n v="49700"/>
        <n v="34600"/>
        <n v="31800"/>
        <n v="22800"/>
        <n v="36300"/>
        <n v="48200"/>
        <n v="31300"/>
        <n v="35700"/>
        <n v="30800"/>
        <n v="41400"/>
        <n v="31900"/>
        <n v="76400"/>
        <n v="41900"/>
        <n v="39800"/>
        <n v="53300"/>
        <n v="42100"/>
        <n v="55400"/>
        <n v="45500"/>
        <n v="46900"/>
        <n v="46600"/>
        <n v="50100"/>
        <n v="44400"/>
        <n v="39900"/>
        <n v="29800"/>
        <n v="28700"/>
        <n v="51700"/>
        <n v="65200"/>
        <n v="49500"/>
        <n v="52700"/>
        <n v="29500"/>
        <n v="24600"/>
        <n v="26000"/>
        <n v="61800"/>
        <n v="38400"/>
        <n v="51200"/>
        <n v="55600"/>
        <n v="23500"/>
        <n v="45000"/>
        <n v="51900"/>
        <n v="32600"/>
        <n v="42800"/>
        <n v="68100"/>
        <n v="27500"/>
        <n v="38600"/>
        <n v="46100"/>
        <n v="22900"/>
        <n v="59200"/>
        <n v="27400"/>
        <n v="67900"/>
        <n v="41500"/>
        <n v="45400"/>
        <n v="44100"/>
        <n v="68300"/>
        <n v="42000"/>
        <n v="26900"/>
        <n v="34400"/>
        <n v="46200"/>
        <n v="47000"/>
        <n v="66300"/>
        <n v="32500"/>
        <n v="40300"/>
        <n v="38900"/>
        <n v="65100"/>
        <n v="52900"/>
        <n v="52200"/>
        <n v="36900"/>
        <n v="26200"/>
        <n v="71600"/>
        <n v="33400"/>
        <n v="56200"/>
        <n v="26800"/>
        <n v="51000"/>
        <n v="44600"/>
        <n v="28400"/>
        <n v="61500"/>
        <n v="26500"/>
        <n v="54300"/>
        <n v="49000"/>
        <n v="69200"/>
        <n v="63500"/>
        <n v="30400"/>
      </sharedItems>
    </cacheField>
    <cacheField name="Job_Satisfaction_1to5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  <cacheField name="Overtim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0"/>
    <x v="1"/>
    <x v="0"/>
    <x v="0"/>
    <x v="1"/>
    <x v="1"/>
    <x v="0"/>
  </r>
  <r>
    <x v="2"/>
    <x v="2"/>
    <x v="1"/>
    <x v="2"/>
    <x v="2"/>
    <x v="2"/>
    <x v="1"/>
    <x v="0"/>
    <x v="2"/>
    <x v="1"/>
    <x v="1"/>
    <x v="2"/>
    <x v="2"/>
    <x v="0"/>
  </r>
  <r>
    <x v="3"/>
    <x v="3"/>
    <x v="1"/>
    <x v="0"/>
    <x v="0"/>
    <x v="3"/>
    <x v="2"/>
    <x v="0"/>
    <x v="3"/>
    <x v="0"/>
    <x v="0"/>
    <x v="3"/>
    <x v="1"/>
    <x v="0"/>
  </r>
  <r>
    <x v="4"/>
    <x v="4"/>
    <x v="1"/>
    <x v="3"/>
    <x v="3"/>
    <x v="4"/>
    <x v="0"/>
    <x v="1"/>
    <x v="4"/>
    <x v="0"/>
    <x v="0"/>
    <x v="4"/>
    <x v="0"/>
    <x v="0"/>
  </r>
  <r>
    <x v="5"/>
    <x v="5"/>
    <x v="1"/>
    <x v="4"/>
    <x v="2"/>
    <x v="2"/>
    <x v="2"/>
    <x v="0"/>
    <x v="5"/>
    <x v="2"/>
    <x v="1"/>
    <x v="0"/>
    <x v="1"/>
    <x v="0"/>
  </r>
  <r>
    <x v="6"/>
    <x v="6"/>
    <x v="1"/>
    <x v="3"/>
    <x v="4"/>
    <x v="5"/>
    <x v="1"/>
    <x v="0"/>
    <x v="6"/>
    <x v="0"/>
    <x v="0"/>
    <x v="5"/>
    <x v="1"/>
    <x v="0"/>
  </r>
  <r>
    <x v="7"/>
    <x v="7"/>
    <x v="0"/>
    <x v="2"/>
    <x v="3"/>
    <x v="6"/>
    <x v="3"/>
    <x v="0"/>
    <x v="7"/>
    <x v="0"/>
    <x v="0"/>
    <x v="6"/>
    <x v="1"/>
    <x v="1"/>
  </r>
  <r>
    <x v="8"/>
    <x v="8"/>
    <x v="0"/>
    <x v="0"/>
    <x v="1"/>
    <x v="7"/>
    <x v="0"/>
    <x v="0"/>
    <x v="8"/>
    <x v="0"/>
    <x v="0"/>
    <x v="7"/>
    <x v="1"/>
    <x v="1"/>
  </r>
  <r>
    <x v="9"/>
    <x v="9"/>
    <x v="0"/>
    <x v="4"/>
    <x v="5"/>
    <x v="8"/>
    <x v="0"/>
    <x v="0"/>
    <x v="9"/>
    <x v="0"/>
    <x v="0"/>
    <x v="8"/>
    <x v="2"/>
    <x v="0"/>
  </r>
  <r>
    <x v="10"/>
    <x v="10"/>
    <x v="1"/>
    <x v="4"/>
    <x v="1"/>
    <x v="7"/>
    <x v="1"/>
    <x v="0"/>
    <x v="10"/>
    <x v="0"/>
    <x v="0"/>
    <x v="9"/>
    <x v="1"/>
    <x v="0"/>
  </r>
  <r>
    <x v="11"/>
    <x v="11"/>
    <x v="0"/>
    <x v="3"/>
    <x v="6"/>
    <x v="9"/>
    <x v="3"/>
    <x v="1"/>
    <x v="11"/>
    <x v="3"/>
    <x v="1"/>
    <x v="10"/>
    <x v="2"/>
    <x v="0"/>
  </r>
  <r>
    <x v="12"/>
    <x v="12"/>
    <x v="1"/>
    <x v="5"/>
    <x v="1"/>
    <x v="10"/>
    <x v="2"/>
    <x v="0"/>
    <x v="12"/>
    <x v="0"/>
    <x v="0"/>
    <x v="11"/>
    <x v="3"/>
    <x v="0"/>
  </r>
  <r>
    <x v="13"/>
    <x v="13"/>
    <x v="1"/>
    <x v="3"/>
    <x v="1"/>
    <x v="10"/>
    <x v="2"/>
    <x v="0"/>
    <x v="13"/>
    <x v="0"/>
    <x v="0"/>
    <x v="12"/>
    <x v="0"/>
    <x v="1"/>
  </r>
  <r>
    <x v="14"/>
    <x v="14"/>
    <x v="0"/>
    <x v="0"/>
    <x v="4"/>
    <x v="5"/>
    <x v="1"/>
    <x v="0"/>
    <x v="14"/>
    <x v="4"/>
    <x v="1"/>
    <x v="13"/>
    <x v="3"/>
    <x v="0"/>
  </r>
  <r>
    <x v="15"/>
    <x v="15"/>
    <x v="0"/>
    <x v="5"/>
    <x v="0"/>
    <x v="3"/>
    <x v="3"/>
    <x v="0"/>
    <x v="15"/>
    <x v="5"/>
    <x v="1"/>
    <x v="14"/>
    <x v="0"/>
    <x v="1"/>
  </r>
  <r>
    <x v="16"/>
    <x v="16"/>
    <x v="0"/>
    <x v="4"/>
    <x v="3"/>
    <x v="4"/>
    <x v="0"/>
    <x v="0"/>
    <x v="16"/>
    <x v="0"/>
    <x v="0"/>
    <x v="15"/>
    <x v="0"/>
    <x v="0"/>
  </r>
  <r>
    <x v="17"/>
    <x v="17"/>
    <x v="1"/>
    <x v="2"/>
    <x v="1"/>
    <x v="10"/>
    <x v="2"/>
    <x v="0"/>
    <x v="17"/>
    <x v="0"/>
    <x v="0"/>
    <x v="16"/>
    <x v="1"/>
    <x v="0"/>
  </r>
  <r>
    <x v="18"/>
    <x v="18"/>
    <x v="1"/>
    <x v="6"/>
    <x v="0"/>
    <x v="11"/>
    <x v="0"/>
    <x v="0"/>
    <x v="18"/>
    <x v="6"/>
    <x v="1"/>
    <x v="17"/>
    <x v="3"/>
    <x v="1"/>
  </r>
  <r>
    <x v="19"/>
    <x v="19"/>
    <x v="0"/>
    <x v="4"/>
    <x v="5"/>
    <x v="12"/>
    <x v="1"/>
    <x v="0"/>
    <x v="19"/>
    <x v="0"/>
    <x v="0"/>
    <x v="18"/>
    <x v="3"/>
    <x v="0"/>
  </r>
  <r>
    <x v="20"/>
    <x v="20"/>
    <x v="0"/>
    <x v="4"/>
    <x v="3"/>
    <x v="6"/>
    <x v="2"/>
    <x v="0"/>
    <x v="20"/>
    <x v="0"/>
    <x v="0"/>
    <x v="19"/>
    <x v="2"/>
    <x v="1"/>
  </r>
  <r>
    <x v="21"/>
    <x v="21"/>
    <x v="1"/>
    <x v="4"/>
    <x v="2"/>
    <x v="13"/>
    <x v="0"/>
    <x v="0"/>
    <x v="21"/>
    <x v="0"/>
    <x v="0"/>
    <x v="20"/>
    <x v="0"/>
    <x v="0"/>
  </r>
  <r>
    <x v="22"/>
    <x v="22"/>
    <x v="1"/>
    <x v="4"/>
    <x v="3"/>
    <x v="6"/>
    <x v="3"/>
    <x v="0"/>
    <x v="22"/>
    <x v="0"/>
    <x v="0"/>
    <x v="21"/>
    <x v="1"/>
    <x v="0"/>
  </r>
  <r>
    <x v="23"/>
    <x v="23"/>
    <x v="0"/>
    <x v="5"/>
    <x v="6"/>
    <x v="14"/>
    <x v="2"/>
    <x v="0"/>
    <x v="23"/>
    <x v="0"/>
    <x v="0"/>
    <x v="22"/>
    <x v="1"/>
    <x v="1"/>
  </r>
  <r>
    <x v="24"/>
    <x v="24"/>
    <x v="1"/>
    <x v="5"/>
    <x v="6"/>
    <x v="15"/>
    <x v="1"/>
    <x v="0"/>
    <x v="24"/>
    <x v="0"/>
    <x v="0"/>
    <x v="23"/>
    <x v="4"/>
    <x v="0"/>
  </r>
  <r>
    <x v="25"/>
    <x v="25"/>
    <x v="1"/>
    <x v="0"/>
    <x v="0"/>
    <x v="11"/>
    <x v="1"/>
    <x v="0"/>
    <x v="25"/>
    <x v="0"/>
    <x v="0"/>
    <x v="24"/>
    <x v="2"/>
    <x v="0"/>
  </r>
  <r>
    <x v="26"/>
    <x v="26"/>
    <x v="1"/>
    <x v="1"/>
    <x v="1"/>
    <x v="10"/>
    <x v="3"/>
    <x v="0"/>
    <x v="26"/>
    <x v="7"/>
    <x v="1"/>
    <x v="25"/>
    <x v="1"/>
    <x v="0"/>
  </r>
  <r>
    <x v="27"/>
    <x v="27"/>
    <x v="0"/>
    <x v="3"/>
    <x v="5"/>
    <x v="12"/>
    <x v="0"/>
    <x v="0"/>
    <x v="27"/>
    <x v="0"/>
    <x v="0"/>
    <x v="26"/>
    <x v="3"/>
    <x v="0"/>
  </r>
  <r>
    <x v="28"/>
    <x v="28"/>
    <x v="1"/>
    <x v="7"/>
    <x v="1"/>
    <x v="1"/>
    <x v="0"/>
    <x v="1"/>
    <x v="28"/>
    <x v="8"/>
    <x v="1"/>
    <x v="27"/>
    <x v="3"/>
    <x v="0"/>
  </r>
  <r>
    <x v="29"/>
    <x v="29"/>
    <x v="0"/>
    <x v="6"/>
    <x v="5"/>
    <x v="8"/>
    <x v="0"/>
    <x v="0"/>
    <x v="29"/>
    <x v="9"/>
    <x v="1"/>
    <x v="28"/>
    <x v="0"/>
    <x v="1"/>
  </r>
  <r>
    <x v="30"/>
    <x v="30"/>
    <x v="1"/>
    <x v="7"/>
    <x v="5"/>
    <x v="16"/>
    <x v="3"/>
    <x v="0"/>
    <x v="30"/>
    <x v="0"/>
    <x v="0"/>
    <x v="29"/>
    <x v="1"/>
    <x v="0"/>
  </r>
  <r>
    <x v="31"/>
    <x v="31"/>
    <x v="1"/>
    <x v="1"/>
    <x v="0"/>
    <x v="0"/>
    <x v="3"/>
    <x v="1"/>
    <x v="31"/>
    <x v="0"/>
    <x v="0"/>
    <x v="30"/>
    <x v="3"/>
    <x v="0"/>
  </r>
  <r>
    <x v="32"/>
    <x v="32"/>
    <x v="1"/>
    <x v="3"/>
    <x v="6"/>
    <x v="9"/>
    <x v="0"/>
    <x v="0"/>
    <x v="32"/>
    <x v="0"/>
    <x v="0"/>
    <x v="31"/>
    <x v="0"/>
    <x v="1"/>
  </r>
  <r>
    <x v="33"/>
    <x v="33"/>
    <x v="0"/>
    <x v="7"/>
    <x v="4"/>
    <x v="17"/>
    <x v="1"/>
    <x v="1"/>
    <x v="33"/>
    <x v="0"/>
    <x v="0"/>
    <x v="32"/>
    <x v="1"/>
    <x v="1"/>
  </r>
  <r>
    <x v="34"/>
    <x v="34"/>
    <x v="0"/>
    <x v="3"/>
    <x v="0"/>
    <x v="3"/>
    <x v="1"/>
    <x v="0"/>
    <x v="34"/>
    <x v="0"/>
    <x v="0"/>
    <x v="33"/>
    <x v="0"/>
    <x v="0"/>
  </r>
  <r>
    <x v="35"/>
    <x v="35"/>
    <x v="1"/>
    <x v="7"/>
    <x v="3"/>
    <x v="4"/>
    <x v="3"/>
    <x v="0"/>
    <x v="35"/>
    <x v="0"/>
    <x v="0"/>
    <x v="34"/>
    <x v="1"/>
    <x v="0"/>
  </r>
  <r>
    <x v="36"/>
    <x v="36"/>
    <x v="0"/>
    <x v="2"/>
    <x v="3"/>
    <x v="18"/>
    <x v="0"/>
    <x v="1"/>
    <x v="36"/>
    <x v="0"/>
    <x v="0"/>
    <x v="35"/>
    <x v="1"/>
    <x v="0"/>
  </r>
  <r>
    <x v="37"/>
    <x v="37"/>
    <x v="1"/>
    <x v="0"/>
    <x v="2"/>
    <x v="2"/>
    <x v="1"/>
    <x v="1"/>
    <x v="37"/>
    <x v="0"/>
    <x v="0"/>
    <x v="36"/>
    <x v="0"/>
    <x v="1"/>
  </r>
  <r>
    <x v="38"/>
    <x v="38"/>
    <x v="1"/>
    <x v="4"/>
    <x v="3"/>
    <x v="18"/>
    <x v="0"/>
    <x v="0"/>
    <x v="38"/>
    <x v="0"/>
    <x v="0"/>
    <x v="37"/>
    <x v="0"/>
    <x v="0"/>
  </r>
  <r>
    <x v="39"/>
    <x v="39"/>
    <x v="0"/>
    <x v="5"/>
    <x v="3"/>
    <x v="6"/>
    <x v="0"/>
    <x v="0"/>
    <x v="39"/>
    <x v="10"/>
    <x v="1"/>
    <x v="38"/>
    <x v="1"/>
    <x v="0"/>
  </r>
  <r>
    <x v="40"/>
    <x v="40"/>
    <x v="0"/>
    <x v="1"/>
    <x v="1"/>
    <x v="7"/>
    <x v="0"/>
    <x v="0"/>
    <x v="40"/>
    <x v="11"/>
    <x v="1"/>
    <x v="39"/>
    <x v="1"/>
    <x v="0"/>
  </r>
  <r>
    <x v="41"/>
    <x v="41"/>
    <x v="1"/>
    <x v="6"/>
    <x v="1"/>
    <x v="1"/>
    <x v="0"/>
    <x v="0"/>
    <x v="41"/>
    <x v="0"/>
    <x v="0"/>
    <x v="40"/>
    <x v="3"/>
    <x v="0"/>
  </r>
  <r>
    <x v="42"/>
    <x v="42"/>
    <x v="1"/>
    <x v="4"/>
    <x v="0"/>
    <x v="11"/>
    <x v="2"/>
    <x v="0"/>
    <x v="42"/>
    <x v="0"/>
    <x v="0"/>
    <x v="41"/>
    <x v="1"/>
    <x v="1"/>
  </r>
  <r>
    <x v="43"/>
    <x v="43"/>
    <x v="1"/>
    <x v="5"/>
    <x v="2"/>
    <x v="19"/>
    <x v="3"/>
    <x v="1"/>
    <x v="43"/>
    <x v="0"/>
    <x v="0"/>
    <x v="42"/>
    <x v="3"/>
    <x v="0"/>
  </r>
  <r>
    <x v="44"/>
    <x v="44"/>
    <x v="1"/>
    <x v="1"/>
    <x v="3"/>
    <x v="6"/>
    <x v="2"/>
    <x v="0"/>
    <x v="44"/>
    <x v="0"/>
    <x v="0"/>
    <x v="43"/>
    <x v="2"/>
    <x v="0"/>
  </r>
  <r>
    <x v="45"/>
    <x v="45"/>
    <x v="1"/>
    <x v="6"/>
    <x v="1"/>
    <x v="1"/>
    <x v="0"/>
    <x v="0"/>
    <x v="45"/>
    <x v="0"/>
    <x v="0"/>
    <x v="44"/>
    <x v="3"/>
    <x v="0"/>
  </r>
  <r>
    <x v="46"/>
    <x v="46"/>
    <x v="1"/>
    <x v="3"/>
    <x v="5"/>
    <x v="16"/>
    <x v="3"/>
    <x v="0"/>
    <x v="46"/>
    <x v="0"/>
    <x v="0"/>
    <x v="42"/>
    <x v="1"/>
    <x v="0"/>
  </r>
  <r>
    <x v="47"/>
    <x v="47"/>
    <x v="1"/>
    <x v="6"/>
    <x v="6"/>
    <x v="14"/>
    <x v="1"/>
    <x v="0"/>
    <x v="47"/>
    <x v="0"/>
    <x v="0"/>
    <x v="45"/>
    <x v="3"/>
    <x v="0"/>
  </r>
  <r>
    <x v="48"/>
    <x v="48"/>
    <x v="1"/>
    <x v="2"/>
    <x v="6"/>
    <x v="14"/>
    <x v="2"/>
    <x v="0"/>
    <x v="48"/>
    <x v="0"/>
    <x v="0"/>
    <x v="46"/>
    <x v="1"/>
    <x v="0"/>
  </r>
  <r>
    <x v="49"/>
    <x v="49"/>
    <x v="0"/>
    <x v="4"/>
    <x v="0"/>
    <x v="3"/>
    <x v="2"/>
    <x v="0"/>
    <x v="49"/>
    <x v="0"/>
    <x v="0"/>
    <x v="47"/>
    <x v="4"/>
    <x v="0"/>
  </r>
  <r>
    <x v="50"/>
    <x v="50"/>
    <x v="0"/>
    <x v="6"/>
    <x v="0"/>
    <x v="11"/>
    <x v="3"/>
    <x v="0"/>
    <x v="50"/>
    <x v="0"/>
    <x v="0"/>
    <x v="48"/>
    <x v="1"/>
    <x v="0"/>
  </r>
  <r>
    <x v="51"/>
    <x v="51"/>
    <x v="1"/>
    <x v="4"/>
    <x v="4"/>
    <x v="5"/>
    <x v="1"/>
    <x v="0"/>
    <x v="51"/>
    <x v="12"/>
    <x v="1"/>
    <x v="49"/>
    <x v="0"/>
    <x v="0"/>
  </r>
  <r>
    <x v="52"/>
    <x v="52"/>
    <x v="0"/>
    <x v="1"/>
    <x v="3"/>
    <x v="6"/>
    <x v="3"/>
    <x v="0"/>
    <x v="52"/>
    <x v="13"/>
    <x v="1"/>
    <x v="50"/>
    <x v="1"/>
    <x v="0"/>
  </r>
  <r>
    <x v="53"/>
    <x v="53"/>
    <x v="0"/>
    <x v="7"/>
    <x v="1"/>
    <x v="1"/>
    <x v="3"/>
    <x v="0"/>
    <x v="53"/>
    <x v="5"/>
    <x v="1"/>
    <x v="51"/>
    <x v="3"/>
    <x v="0"/>
  </r>
  <r>
    <x v="54"/>
    <x v="54"/>
    <x v="0"/>
    <x v="1"/>
    <x v="3"/>
    <x v="18"/>
    <x v="3"/>
    <x v="0"/>
    <x v="54"/>
    <x v="0"/>
    <x v="0"/>
    <x v="52"/>
    <x v="0"/>
    <x v="1"/>
  </r>
  <r>
    <x v="55"/>
    <x v="55"/>
    <x v="0"/>
    <x v="7"/>
    <x v="0"/>
    <x v="0"/>
    <x v="0"/>
    <x v="0"/>
    <x v="55"/>
    <x v="0"/>
    <x v="0"/>
    <x v="53"/>
    <x v="3"/>
    <x v="0"/>
  </r>
  <r>
    <x v="56"/>
    <x v="56"/>
    <x v="0"/>
    <x v="6"/>
    <x v="3"/>
    <x v="6"/>
    <x v="2"/>
    <x v="0"/>
    <x v="56"/>
    <x v="14"/>
    <x v="1"/>
    <x v="54"/>
    <x v="1"/>
    <x v="0"/>
  </r>
  <r>
    <x v="57"/>
    <x v="57"/>
    <x v="0"/>
    <x v="1"/>
    <x v="3"/>
    <x v="4"/>
    <x v="0"/>
    <x v="0"/>
    <x v="57"/>
    <x v="0"/>
    <x v="0"/>
    <x v="55"/>
    <x v="0"/>
    <x v="0"/>
  </r>
  <r>
    <x v="58"/>
    <x v="58"/>
    <x v="0"/>
    <x v="0"/>
    <x v="4"/>
    <x v="20"/>
    <x v="3"/>
    <x v="0"/>
    <x v="58"/>
    <x v="15"/>
    <x v="1"/>
    <x v="56"/>
    <x v="3"/>
    <x v="0"/>
  </r>
  <r>
    <x v="59"/>
    <x v="59"/>
    <x v="0"/>
    <x v="0"/>
    <x v="0"/>
    <x v="0"/>
    <x v="0"/>
    <x v="0"/>
    <x v="59"/>
    <x v="0"/>
    <x v="0"/>
    <x v="57"/>
    <x v="3"/>
    <x v="0"/>
  </r>
  <r>
    <x v="60"/>
    <x v="60"/>
    <x v="1"/>
    <x v="1"/>
    <x v="2"/>
    <x v="19"/>
    <x v="2"/>
    <x v="0"/>
    <x v="60"/>
    <x v="0"/>
    <x v="0"/>
    <x v="42"/>
    <x v="2"/>
    <x v="0"/>
  </r>
  <r>
    <x v="61"/>
    <x v="61"/>
    <x v="1"/>
    <x v="7"/>
    <x v="6"/>
    <x v="15"/>
    <x v="0"/>
    <x v="0"/>
    <x v="24"/>
    <x v="0"/>
    <x v="0"/>
    <x v="58"/>
    <x v="2"/>
    <x v="1"/>
  </r>
  <r>
    <x v="62"/>
    <x v="62"/>
    <x v="0"/>
    <x v="0"/>
    <x v="2"/>
    <x v="2"/>
    <x v="1"/>
    <x v="0"/>
    <x v="61"/>
    <x v="0"/>
    <x v="0"/>
    <x v="59"/>
    <x v="1"/>
    <x v="0"/>
  </r>
  <r>
    <x v="63"/>
    <x v="63"/>
    <x v="0"/>
    <x v="0"/>
    <x v="5"/>
    <x v="8"/>
    <x v="2"/>
    <x v="0"/>
    <x v="62"/>
    <x v="16"/>
    <x v="1"/>
    <x v="60"/>
    <x v="0"/>
    <x v="0"/>
  </r>
  <r>
    <x v="64"/>
    <x v="64"/>
    <x v="0"/>
    <x v="0"/>
    <x v="6"/>
    <x v="15"/>
    <x v="0"/>
    <x v="0"/>
    <x v="63"/>
    <x v="17"/>
    <x v="1"/>
    <x v="61"/>
    <x v="3"/>
    <x v="0"/>
  </r>
  <r>
    <x v="65"/>
    <x v="65"/>
    <x v="0"/>
    <x v="2"/>
    <x v="0"/>
    <x v="3"/>
    <x v="3"/>
    <x v="1"/>
    <x v="64"/>
    <x v="0"/>
    <x v="0"/>
    <x v="62"/>
    <x v="1"/>
    <x v="0"/>
  </r>
  <r>
    <x v="66"/>
    <x v="66"/>
    <x v="0"/>
    <x v="5"/>
    <x v="1"/>
    <x v="10"/>
    <x v="1"/>
    <x v="0"/>
    <x v="65"/>
    <x v="0"/>
    <x v="0"/>
    <x v="63"/>
    <x v="0"/>
    <x v="0"/>
  </r>
  <r>
    <x v="67"/>
    <x v="67"/>
    <x v="1"/>
    <x v="1"/>
    <x v="2"/>
    <x v="19"/>
    <x v="2"/>
    <x v="2"/>
    <x v="66"/>
    <x v="0"/>
    <x v="0"/>
    <x v="64"/>
    <x v="1"/>
    <x v="0"/>
  </r>
  <r>
    <x v="68"/>
    <x v="68"/>
    <x v="0"/>
    <x v="5"/>
    <x v="4"/>
    <x v="17"/>
    <x v="3"/>
    <x v="0"/>
    <x v="67"/>
    <x v="0"/>
    <x v="0"/>
    <x v="65"/>
    <x v="3"/>
    <x v="0"/>
  </r>
  <r>
    <x v="69"/>
    <x v="69"/>
    <x v="0"/>
    <x v="4"/>
    <x v="3"/>
    <x v="4"/>
    <x v="0"/>
    <x v="0"/>
    <x v="68"/>
    <x v="18"/>
    <x v="1"/>
    <x v="66"/>
    <x v="3"/>
    <x v="1"/>
  </r>
  <r>
    <x v="70"/>
    <x v="70"/>
    <x v="0"/>
    <x v="7"/>
    <x v="5"/>
    <x v="12"/>
    <x v="0"/>
    <x v="0"/>
    <x v="69"/>
    <x v="0"/>
    <x v="0"/>
    <x v="67"/>
    <x v="3"/>
    <x v="1"/>
  </r>
  <r>
    <x v="71"/>
    <x v="71"/>
    <x v="0"/>
    <x v="3"/>
    <x v="4"/>
    <x v="5"/>
    <x v="2"/>
    <x v="1"/>
    <x v="70"/>
    <x v="0"/>
    <x v="0"/>
    <x v="68"/>
    <x v="0"/>
    <x v="1"/>
  </r>
  <r>
    <x v="72"/>
    <x v="72"/>
    <x v="1"/>
    <x v="7"/>
    <x v="6"/>
    <x v="15"/>
    <x v="3"/>
    <x v="0"/>
    <x v="71"/>
    <x v="0"/>
    <x v="0"/>
    <x v="69"/>
    <x v="2"/>
    <x v="1"/>
  </r>
  <r>
    <x v="73"/>
    <x v="73"/>
    <x v="0"/>
    <x v="6"/>
    <x v="4"/>
    <x v="17"/>
    <x v="0"/>
    <x v="1"/>
    <x v="72"/>
    <x v="0"/>
    <x v="0"/>
    <x v="55"/>
    <x v="3"/>
    <x v="1"/>
  </r>
  <r>
    <x v="74"/>
    <x v="74"/>
    <x v="1"/>
    <x v="2"/>
    <x v="6"/>
    <x v="15"/>
    <x v="3"/>
    <x v="0"/>
    <x v="73"/>
    <x v="0"/>
    <x v="0"/>
    <x v="26"/>
    <x v="0"/>
    <x v="1"/>
  </r>
  <r>
    <x v="75"/>
    <x v="75"/>
    <x v="1"/>
    <x v="5"/>
    <x v="6"/>
    <x v="15"/>
    <x v="3"/>
    <x v="0"/>
    <x v="74"/>
    <x v="0"/>
    <x v="0"/>
    <x v="70"/>
    <x v="2"/>
    <x v="0"/>
  </r>
  <r>
    <x v="76"/>
    <x v="76"/>
    <x v="0"/>
    <x v="1"/>
    <x v="3"/>
    <x v="6"/>
    <x v="1"/>
    <x v="1"/>
    <x v="75"/>
    <x v="0"/>
    <x v="0"/>
    <x v="71"/>
    <x v="4"/>
    <x v="0"/>
  </r>
  <r>
    <x v="77"/>
    <x v="77"/>
    <x v="0"/>
    <x v="6"/>
    <x v="6"/>
    <x v="14"/>
    <x v="0"/>
    <x v="0"/>
    <x v="76"/>
    <x v="19"/>
    <x v="1"/>
    <x v="72"/>
    <x v="1"/>
    <x v="0"/>
  </r>
  <r>
    <x v="78"/>
    <x v="78"/>
    <x v="0"/>
    <x v="6"/>
    <x v="3"/>
    <x v="4"/>
    <x v="2"/>
    <x v="0"/>
    <x v="77"/>
    <x v="0"/>
    <x v="0"/>
    <x v="55"/>
    <x v="3"/>
    <x v="0"/>
  </r>
  <r>
    <x v="79"/>
    <x v="79"/>
    <x v="1"/>
    <x v="3"/>
    <x v="1"/>
    <x v="1"/>
    <x v="2"/>
    <x v="0"/>
    <x v="78"/>
    <x v="0"/>
    <x v="0"/>
    <x v="73"/>
    <x v="1"/>
    <x v="0"/>
  </r>
  <r>
    <x v="80"/>
    <x v="80"/>
    <x v="0"/>
    <x v="4"/>
    <x v="5"/>
    <x v="12"/>
    <x v="2"/>
    <x v="0"/>
    <x v="79"/>
    <x v="0"/>
    <x v="0"/>
    <x v="74"/>
    <x v="0"/>
    <x v="0"/>
  </r>
  <r>
    <x v="81"/>
    <x v="81"/>
    <x v="1"/>
    <x v="4"/>
    <x v="1"/>
    <x v="1"/>
    <x v="1"/>
    <x v="0"/>
    <x v="80"/>
    <x v="0"/>
    <x v="0"/>
    <x v="75"/>
    <x v="0"/>
    <x v="0"/>
  </r>
  <r>
    <x v="82"/>
    <x v="82"/>
    <x v="0"/>
    <x v="3"/>
    <x v="6"/>
    <x v="14"/>
    <x v="2"/>
    <x v="0"/>
    <x v="81"/>
    <x v="20"/>
    <x v="1"/>
    <x v="76"/>
    <x v="3"/>
    <x v="0"/>
  </r>
  <r>
    <x v="83"/>
    <x v="83"/>
    <x v="0"/>
    <x v="3"/>
    <x v="5"/>
    <x v="12"/>
    <x v="0"/>
    <x v="0"/>
    <x v="82"/>
    <x v="0"/>
    <x v="0"/>
    <x v="77"/>
    <x v="0"/>
    <x v="1"/>
  </r>
  <r>
    <x v="84"/>
    <x v="84"/>
    <x v="1"/>
    <x v="0"/>
    <x v="1"/>
    <x v="10"/>
    <x v="2"/>
    <x v="0"/>
    <x v="83"/>
    <x v="0"/>
    <x v="0"/>
    <x v="78"/>
    <x v="3"/>
    <x v="0"/>
  </r>
  <r>
    <x v="85"/>
    <x v="85"/>
    <x v="0"/>
    <x v="2"/>
    <x v="4"/>
    <x v="5"/>
    <x v="3"/>
    <x v="0"/>
    <x v="84"/>
    <x v="0"/>
    <x v="0"/>
    <x v="79"/>
    <x v="0"/>
    <x v="0"/>
  </r>
  <r>
    <x v="86"/>
    <x v="86"/>
    <x v="1"/>
    <x v="2"/>
    <x v="5"/>
    <x v="8"/>
    <x v="2"/>
    <x v="0"/>
    <x v="85"/>
    <x v="0"/>
    <x v="0"/>
    <x v="80"/>
    <x v="1"/>
    <x v="0"/>
  </r>
  <r>
    <x v="87"/>
    <x v="87"/>
    <x v="1"/>
    <x v="1"/>
    <x v="1"/>
    <x v="1"/>
    <x v="3"/>
    <x v="0"/>
    <x v="86"/>
    <x v="0"/>
    <x v="0"/>
    <x v="81"/>
    <x v="1"/>
    <x v="1"/>
  </r>
  <r>
    <x v="88"/>
    <x v="88"/>
    <x v="1"/>
    <x v="1"/>
    <x v="5"/>
    <x v="12"/>
    <x v="2"/>
    <x v="0"/>
    <x v="87"/>
    <x v="0"/>
    <x v="0"/>
    <x v="82"/>
    <x v="1"/>
    <x v="1"/>
  </r>
  <r>
    <x v="89"/>
    <x v="89"/>
    <x v="1"/>
    <x v="6"/>
    <x v="6"/>
    <x v="14"/>
    <x v="3"/>
    <x v="0"/>
    <x v="88"/>
    <x v="0"/>
    <x v="0"/>
    <x v="83"/>
    <x v="0"/>
    <x v="1"/>
  </r>
  <r>
    <x v="90"/>
    <x v="90"/>
    <x v="1"/>
    <x v="0"/>
    <x v="1"/>
    <x v="1"/>
    <x v="2"/>
    <x v="2"/>
    <x v="89"/>
    <x v="0"/>
    <x v="0"/>
    <x v="84"/>
    <x v="0"/>
    <x v="0"/>
  </r>
  <r>
    <x v="91"/>
    <x v="91"/>
    <x v="1"/>
    <x v="6"/>
    <x v="6"/>
    <x v="9"/>
    <x v="2"/>
    <x v="0"/>
    <x v="90"/>
    <x v="0"/>
    <x v="0"/>
    <x v="85"/>
    <x v="0"/>
    <x v="0"/>
  </r>
  <r>
    <x v="92"/>
    <x v="92"/>
    <x v="1"/>
    <x v="2"/>
    <x v="1"/>
    <x v="7"/>
    <x v="1"/>
    <x v="0"/>
    <x v="91"/>
    <x v="0"/>
    <x v="0"/>
    <x v="12"/>
    <x v="1"/>
    <x v="0"/>
  </r>
  <r>
    <x v="93"/>
    <x v="93"/>
    <x v="0"/>
    <x v="2"/>
    <x v="6"/>
    <x v="14"/>
    <x v="1"/>
    <x v="0"/>
    <x v="92"/>
    <x v="0"/>
    <x v="0"/>
    <x v="71"/>
    <x v="1"/>
    <x v="1"/>
  </r>
  <r>
    <x v="94"/>
    <x v="94"/>
    <x v="0"/>
    <x v="1"/>
    <x v="0"/>
    <x v="11"/>
    <x v="1"/>
    <x v="0"/>
    <x v="93"/>
    <x v="0"/>
    <x v="0"/>
    <x v="86"/>
    <x v="3"/>
    <x v="0"/>
  </r>
  <r>
    <x v="95"/>
    <x v="95"/>
    <x v="0"/>
    <x v="7"/>
    <x v="1"/>
    <x v="10"/>
    <x v="0"/>
    <x v="0"/>
    <x v="94"/>
    <x v="0"/>
    <x v="0"/>
    <x v="80"/>
    <x v="1"/>
    <x v="0"/>
  </r>
  <r>
    <x v="96"/>
    <x v="96"/>
    <x v="1"/>
    <x v="6"/>
    <x v="0"/>
    <x v="0"/>
    <x v="1"/>
    <x v="0"/>
    <x v="31"/>
    <x v="0"/>
    <x v="0"/>
    <x v="87"/>
    <x v="2"/>
    <x v="1"/>
  </r>
  <r>
    <x v="97"/>
    <x v="97"/>
    <x v="1"/>
    <x v="5"/>
    <x v="3"/>
    <x v="6"/>
    <x v="3"/>
    <x v="2"/>
    <x v="95"/>
    <x v="0"/>
    <x v="0"/>
    <x v="88"/>
    <x v="1"/>
    <x v="0"/>
  </r>
  <r>
    <x v="98"/>
    <x v="98"/>
    <x v="0"/>
    <x v="2"/>
    <x v="1"/>
    <x v="10"/>
    <x v="3"/>
    <x v="0"/>
    <x v="96"/>
    <x v="0"/>
    <x v="0"/>
    <x v="89"/>
    <x v="0"/>
    <x v="0"/>
  </r>
  <r>
    <x v="99"/>
    <x v="99"/>
    <x v="0"/>
    <x v="3"/>
    <x v="0"/>
    <x v="0"/>
    <x v="3"/>
    <x v="0"/>
    <x v="97"/>
    <x v="0"/>
    <x v="0"/>
    <x v="90"/>
    <x v="4"/>
    <x v="0"/>
  </r>
  <r>
    <x v="100"/>
    <x v="100"/>
    <x v="0"/>
    <x v="0"/>
    <x v="6"/>
    <x v="9"/>
    <x v="0"/>
    <x v="0"/>
    <x v="98"/>
    <x v="0"/>
    <x v="0"/>
    <x v="91"/>
    <x v="3"/>
    <x v="0"/>
  </r>
  <r>
    <x v="101"/>
    <x v="101"/>
    <x v="1"/>
    <x v="6"/>
    <x v="2"/>
    <x v="19"/>
    <x v="2"/>
    <x v="0"/>
    <x v="99"/>
    <x v="21"/>
    <x v="1"/>
    <x v="12"/>
    <x v="2"/>
    <x v="0"/>
  </r>
  <r>
    <x v="102"/>
    <x v="102"/>
    <x v="0"/>
    <x v="5"/>
    <x v="6"/>
    <x v="15"/>
    <x v="2"/>
    <x v="0"/>
    <x v="100"/>
    <x v="0"/>
    <x v="0"/>
    <x v="11"/>
    <x v="0"/>
    <x v="1"/>
  </r>
  <r>
    <x v="103"/>
    <x v="103"/>
    <x v="0"/>
    <x v="2"/>
    <x v="5"/>
    <x v="12"/>
    <x v="0"/>
    <x v="0"/>
    <x v="101"/>
    <x v="0"/>
    <x v="0"/>
    <x v="39"/>
    <x v="1"/>
    <x v="0"/>
  </r>
  <r>
    <x v="104"/>
    <x v="104"/>
    <x v="0"/>
    <x v="2"/>
    <x v="0"/>
    <x v="0"/>
    <x v="3"/>
    <x v="0"/>
    <x v="102"/>
    <x v="0"/>
    <x v="0"/>
    <x v="92"/>
    <x v="3"/>
    <x v="0"/>
  </r>
  <r>
    <x v="105"/>
    <x v="105"/>
    <x v="1"/>
    <x v="6"/>
    <x v="5"/>
    <x v="8"/>
    <x v="2"/>
    <x v="0"/>
    <x v="103"/>
    <x v="0"/>
    <x v="0"/>
    <x v="93"/>
    <x v="3"/>
    <x v="1"/>
  </r>
  <r>
    <x v="106"/>
    <x v="106"/>
    <x v="0"/>
    <x v="4"/>
    <x v="3"/>
    <x v="4"/>
    <x v="0"/>
    <x v="0"/>
    <x v="93"/>
    <x v="0"/>
    <x v="0"/>
    <x v="94"/>
    <x v="2"/>
    <x v="0"/>
  </r>
  <r>
    <x v="107"/>
    <x v="107"/>
    <x v="0"/>
    <x v="3"/>
    <x v="0"/>
    <x v="11"/>
    <x v="0"/>
    <x v="0"/>
    <x v="104"/>
    <x v="0"/>
    <x v="0"/>
    <x v="95"/>
    <x v="0"/>
    <x v="0"/>
  </r>
  <r>
    <x v="108"/>
    <x v="108"/>
    <x v="1"/>
    <x v="0"/>
    <x v="5"/>
    <x v="12"/>
    <x v="0"/>
    <x v="0"/>
    <x v="105"/>
    <x v="0"/>
    <x v="0"/>
    <x v="96"/>
    <x v="1"/>
    <x v="0"/>
  </r>
  <r>
    <x v="109"/>
    <x v="109"/>
    <x v="1"/>
    <x v="5"/>
    <x v="0"/>
    <x v="0"/>
    <x v="3"/>
    <x v="0"/>
    <x v="106"/>
    <x v="0"/>
    <x v="0"/>
    <x v="97"/>
    <x v="0"/>
    <x v="0"/>
  </r>
  <r>
    <x v="110"/>
    <x v="110"/>
    <x v="0"/>
    <x v="4"/>
    <x v="0"/>
    <x v="11"/>
    <x v="0"/>
    <x v="0"/>
    <x v="107"/>
    <x v="0"/>
    <x v="0"/>
    <x v="98"/>
    <x v="3"/>
    <x v="0"/>
  </r>
  <r>
    <x v="111"/>
    <x v="111"/>
    <x v="0"/>
    <x v="1"/>
    <x v="0"/>
    <x v="11"/>
    <x v="0"/>
    <x v="0"/>
    <x v="108"/>
    <x v="0"/>
    <x v="0"/>
    <x v="99"/>
    <x v="1"/>
    <x v="0"/>
  </r>
  <r>
    <x v="112"/>
    <x v="112"/>
    <x v="0"/>
    <x v="6"/>
    <x v="3"/>
    <x v="4"/>
    <x v="3"/>
    <x v="0"/>
    <x v="109"/>
    <x v="0"/>
    <x v="0"/>
    <x v="100"/>
    <x v="1"/>
    <x v="1"/>
  </r>
  <r>
    <x v="113"/>
    <x v="113"/>
    <x v="0"/>
    <x v="7"/>
    <x v="5"/>
    <x v="12"/>
    <x v="0"/>
    <x v="1"/>
    <x v="110"/>
    <x v="0"/>
    <x v="0"/>
    <x v="80"/>
    <x v="1"/>
    <x v="1"/>
  </r>
  <r>
    <x v="114"/>
    <x v="114"/>
    <x v="1"/>
    <x v="7"/>
    <x v="6"/>
    <x v="15"/>
    <x v="0"/>
    <x v="0"/>
    <x v="111"/>
    <x v="0"/>
    <x v="0"/>
    <x v="101"/>
    <x v="1"/>
    <x v="0"/>
  </r>
  <r>
    <x v="115"/>
    <x v="115"/>
    <x v="0"/>
    <x v="0"/>
    <x v="0"/>
    <x v="3"/>
    <x v="1"/>
    <x v="0"/>
    <x v="112"/>
    <x v="0"/>
    <x v="0"/>
    <x v="102"/>
    <x v="1"/>
    <x v="1"/>
  </r>
  <r>
    <x v="116"/>
    <x v="116"/>
    <x v="0"/>
    <x v="0"/>
    <x v="5"/>
    <x v="16"/>
    <x v="1"/>
    <x v="0"/>
    <x v="113"/>
    <x v="0"/>
    <x v="0"/>
    <x v="103"/>
    <x v="0"/>
    <x v="1"/>
  </r>
  <r>
    <x v="117"/>
    <x v="117"/>
    <x v="0"/>
    <x v="5"/>
    <x v="3"/>
    <x v="18"/>
    <x v="3"/>
    <x v="0"/>
    <x v="114"/>
    <x v="0"/>
    <x v="0"/>
    <x v="104"/>
    <x v="0"/>
    <x v="0"/>
  </r>
  <r>
    <x v="118"/>
    <x v="118"/>
    <x v="0"/>
    <x v="5"/>
    <x v="2"/>
    <x v="2"/>
    <x v="1"/>
    <x v="0"/>
    <x v="115"/>
    <x v="0"/>
    <x v="0"/>
    <x v="2"/>
    <x v="0"/>
    <x v="0"/>
  </r>
  <r>
    <x v="119"/>
    <x v="119"/>
    <x v="1"/>
    <x v="0"/>
    <x v="4"/>
    <x v="17"/>
    <x v="0"/>
    <x v="0"/>
    <x v="116"/>
    <x v="0"/>
    <x v="0"/>
    <x v="96"/>
    <x v="1"/>
    <x v="0"/>
  </r>
  <r>
    <x v="120"/>
    <x v="120"/>
    <x v="0"/>
    <x v="4"/>
    <x v="1"/>
    <x v="10"/>
    <x v="3"/>
    <x v="0"/>
    <x v="117"/>
    <x v="0"/>
    <x v="0"/>
    <x v="105"/>
    <x v="3"/>
    <x v="0"/>
  </r>
  <r>
    <x v="121"/>
    <x v="121"/>
    <x v="0"/>
    <x v="6"/>
    <x v="3"/>
    <x v="6"/>
    <x v="2"/>
    <x v="0"/>
    <x v="118"/>
    <x v="22"/>
    <x v="1"/>
    <x v="106"/>
    <x v="1"/>
    <x v="0"/>
  </r>
  <r>
    <x v="122"/>
    <x v="122"/>
    <x v="0"/>
    <x v="4"/>
    <x v="3"/>
    <x v="18"/>
    <x v="1"/>
    <x v="0"/>
    <x v="119"/>
    <x v="0"/>
    <x v="0"/>
    <x v="107"/>
    <x v="1"/>
    <x v="1"/>
  </r>
  <r>
    <x v="123"/>
    <x v="123"/>
    <x v="0"/>
    <x v="7"/>
    <x v="5"/>
    <x v="8"/>
    <x v="1"/>
    <x v="2"/>
    <x v="120"/>
    <x v="0"/>
    <x v="0"/>
    <x v="108"/>
    <x v="0"/>
    <x v="0"/>
  </r>
  <r>
    <x v="124"/>
    <x v="124"/>
    <x v="0"/>
    <x v="4"/>
    <x v="1"/>
    <x v="1"/>
    <x v="0"/>
    <x v="0"/>
    <x v="121"/>
    <x v="0"/>
    <x v="0"/>
    <x v="109"/>
    <x v="1"/>
    <x v="0"/>
  </r>
  <r>
    <x v="125"/>
    <x v="125"/>
    <x v="1"/>
    <x v="0"/>
    <x v="3"/>
    <x v="4"/>
    <x v="1"/>
    <x v="0"/>
    <x v="122"/>
    <x v="23"/>
    <x v="1"/>
    <x v="110"/>
    <x v="1"/>
    <x v="0"/>
  </r>
  <r>
    <x v="126"/>
    <x v="126"/>
    <x v="0"/>
    <x v="0"/>
    <x v="5"/>
    <x v="8"/>
    <x v="0"/>
    <x v="0"/>
    <x v="123"/>
    <x v="0"/>
    <x v="0"/>
    <x v="15"/>
    <x v="0"/>
    <x v="0"/>
  </r>
  <r>
    <x v="127"/>
    <x v="127"/>
    <x v="1"/>
    <x v="6"/>
    <x v="3"/>
    <x v="6"/>
    <x v="1"/>
    <x v="0"/>
    <x v="124"/>
    <x v="0"/>
    <x v="0"/>
    <x v="71"/>
    <x v="1"/>
    <x v="0"/>
  </r>
  <r>
    <x v="128"/>
    <x v="128"/>
    <x v="0"/>
    <x v="0"/>
    <x v="3"/>
    <x v="18"/>
    <x v="1"/>
    <x v="1"/>
    <x v="125"/>
    <x v="0"/>
    <x v="0"/>
    <x v="111"/>
    <x v="4"/>
    <x v="0"/>
  </r>
  <r>
    <x v="129"/>
    <x v="129"/>
    <x v="1"/>
    <x v="0"/>
    <x v="4"/>
    <x v="20"/>
    <x v="3"/>
    <x v="0"/>
    <x v="126"/>
    <x v="0"/>
    <x v="0"/>
    <x v="2"/>
    <x v="4"/>
    <x v="0"/>
  </r>
  <r>
    <x v="130"/>
    <x v="130"/>
    <x v="0"/>
    <x v="1"/>
    <x v="3"/>
    <x v="6"/>
    <x v="3"/>
    <x v="1"/>
    <x v="127"/>
    <x v="0"/>
    <x v="0"/>
    <x v="112"/>
    <x v="1"/>
    <x v="0"/>
  </r>
  <r>
    <x v="131"/>
    <x v="131"/>
    <x v="1"/>
    <x v="3"/>
    <x v="3"/>
    <x v="4"/>
    <x v="1"/>
    <x v="0"/>
    <x v="128"/>
    <x v="0"/>
    <x v="0"/>
    <x v="89"/>
    <x v="3"/>
    <x v="0"/>
  </r>
  <r>
    <x v="132"/>
    <x v="132"/>
    <x v="1"/>
    <x v="4"/>
    <x v="1"/>
    <x v="7"/>
    <x v="0"/>
    <x v="0"/>
    <x v="129"/>
    <x v="0"/>
    <x v="0"/>
    <x v="113"/>
    <x v="1"/>
    <x v="0"/>
  </r>
  <r>
    <x v="133"/>
    <x v="133"/>
    <x v="1"/>
    <x v="1"/>
    <x v="1"/>
    <x v="1"/>
    <x v="2"/>
    <x v="0"/>
    <x v="130"/>
    <x v="24"/>
    <x v="1"/>
    <x v="114"/>
    <x v="1"/>
    <x v="1"/>
  </r>
  <r>
    <x v="134"/>
    <x v="134"/>
    <x v="1"/>
    <x v="0"/>
    <x v="6"/>
    <x v="9"/>
    <x v="3"/>
    <x v="0"/>
    <x v="131"/>
    <x v="0"/>
    <x v="0"/>
    <x v="27"/>
    <x v="1"/>
    <x v="0"/>
  </r>
  <r>
    <x v="135"/>
    <x v="135"/>
    <x v="1"/>
    <x v="0"/>
    <x v="2"/>
    <x v="19"/>
    <x v="3"/>
    <x v="0"/>
    <x v="132"/>
    <x v="0"/>
    <x v="0"/>
    <x v="115"/>
    <x v="0"/>
    <x v="0"/>
  </r>
  <r>
    <x v="136"/>
    <x v="136"/>
    <x v="0"/>
    <x v="7"/>
    <x v="5"/>
    <x v="12"/>
    <x v="0"/>
    <x v="0"/>
    <x v="133"/>
    <x v="0"/>
    <x v="0"/>
    <x v="116"/>
    <x v="1"/>
    <x v="0"/>
  </r>
  <r>
    <x v="137"/>
    <x v="137"/>
    <x v="1"/>
    <x v="5"/>
    <x v="6"/>
    <x v="15"/>
    <x v="0"/>
    <x v="0"/>
    <x v="134"/>
    <x v="0"/>
    <x v="0"/>
    <x v="117"/>
    <x v="0"/>
    <x v="0"/>
  </r>
  <r>
    <x v="138"/>
    <x v="138"/>
    <x v="0"/>
    <x v="5"/>
    <x v="4"/>
    <x v="5"/>
    <x v="0"/>
    <x v="0"/>
    <x v="135"/>
    <x v="0"/>
    <x v="0"/>
    <x v="118"/>
    <x v="1"/>
    <x v="0"/>
  </r>
  <r>
    <x v="139"/>
    <x v="139"/>
    <x v="0"/>
    <x v="4"/>
    <x v="5"/>
    <x v="8"/>
    <x v="0"/>
    <x v="0"/>
    <x v="136"/>
    <x v="0"/>
    <x v="0"/>
    <x v="119"/>
    <x v="1"/>
    <x v="0"/>
  </r>
  <r>
    <x v="140"/>
    <x v="140"/>
    <x v="1"/>
    <x v="5"/>
    <x v="6"/>
    <x v="9"/>
    <x v="0"/>
    <x v="0"/>
    <x v="137"/>
    <x v="25"/>
    <x v="1"/>
    <x v="120"/>
    <x v="1"/>
    <x v="1"/>
  </r>
  <r>
    <x v="141"/>
    <x v="141"/>
    <x v="1"/>
    <x v="0"/>
    <x v="0"/>
    <x v="0"/>
    <x v="1"/>
    <x v="1"/>
    <x v="138"/>
    <x v="26"/>
    <x v="1"/>
    <x v="121"/>
    <x v="3"/>
    <x v="0"/>
  </r>
  <r>
    <x v="142"/>
    <x v="142"/>
    <x v="0"/>
    <x v="6"/>
    <x v="6"/>
    <x v="15"/>
    <x v="3"/>
    <x v="0"/>
    <x v="139"/>
    <x v="27"/>
    <x v="1"/>
    <x v="82"/>
    <x v="2"/>
    <x v="0"/>
  </r>
  <r>
    <x v="143"/>
    <x v="143"/>
    <x v="1"/>
    <x v="6"/>
    <x v="1"/>
    <x v="1"/>
    <x v="1"/>
    <x v="0"/>
    <x v="140"/>
    <x v="0"/>
    <x v="0"/>
    <x v="82"/>
    <x v="0"/>
    <x v="0"/>
  </r>
  <r>
    <x v="144"/>
    <x v="144"/>
    <x v="0"/>
    <x v="2"/>
    <x v="6"/>
    <x v="15"/>
    <x v="2"/>
    <x v="0"/>
    <x v="141"/>
    <x v="0"/>
    <x v="0"/>
    <x v="112"/>
    <x v="3"/>
    <x v="0"/>
  </r>
  <r>
    <x v="145"/>
    <x v="145"/>
    <x v="1"/>
    <x v="7"/>
    <x v="6"/>
    <x v="9"/>
    <x v="2"/>
    <x v="0"/>
    <x v="142"/>
    <x v="0"/>
    <x v="0"/>
    <x v="100"/>
    <x v="2"/>
    <x v="0"/>
  </r>
  <r>
    <x v="146"/>
    <x v="146"/>
    <x v="1"/>
    <x v="3"/>
    <x v="2"/>
    <x v="13"/>
    <x v="2"/>
    <x v="0"/>
    <x v="143"/>
    <x v="0"/>
    <x v="0"/>
    <x v="122"/>
    <x v="3"/>
    <x v="0"/>
  </r>
  <r>
    <x v="147"/>
    <x v="147"/>
    <x v="0"/>
    <x v="1"/>
    <x v="5"/>
    <x v="16"/>
    <x v="1"/>
    <x v="0"/>
    <x v="144"/>
    <x v="28"/>
    <x v="1"/>
    <x v="123"/>
    <x v="0"/>
    <x v="1"/>
  </r>
  <r>
    <x v="148"/>
    <x v="148"/>
    <x v="0"/>
    <x v="4"/>
    <x v="3"/>
    <x v="6"/>
    <x v="0"/>
    <x v="0"/>
    <x v="145"/>
    <x v="0"/>
    <x v="0"/>
    <x v="124"/>
    <x v="0"/>
    <x v="0"/>
  </r>
  <r>
    <x v="149"/>
    <x v="149"/>
    <x v="1"/>
    <x v="2"/>
    <x v="2"/>
    <x v="2"/>
    <x v="0"/>
    <x v="0"/>
    <x v="146"/>
    <x v="0"/>
    <x v="0"/>
    <x v="125"/>
    <x v="1"/>
    <x v="0"/>
  </r>
  <r>
    <x v="150"/>
    <x v="150"/>
    <x v="0"/>
    <x v="5"/>
    <x v="4"/>
    <x v="17"/>
    <x v="0"/>
    <x v="0"/>
    <x v="147"/>
    <x v="0"/>
    <x v="0"/>
    <x v="49"/>
    <x v="0"/>
    <x v="0"/>
  </r>
  <r>
    <x v="151"/>
    <x v="151"/>
    <x v="1"/>
    <x v="1"/>
    <x v="0"/>
    <x v="0"/>
    <x v="1"/>
    <x v="0"/>
    <x v="148"/>
    <x v="0"/>
    <x v="0"/>
    <x v="3"/>
    <x v="0"/>
    <x v="1"/>
  </r>
  <r>
    <x v="152"/>
    <x v="152"/>
    <x v="1"/>
    <x v="6"/>
    <x v="2"/>
    <x v="2"/>
    <x v="1"/>
    <x v="0"/>
    <x v="149"/>
    <x v="0"/>
    <x v="0"/>
    <x v="52"/>
    <x v="3"/>
    <x v="0"/>
  </r>
  <r>
    <x v="153"/>
    <x v="153"/>
    <x v="1"/>
    <x v="3"/>
    <x v="3"/>
    <x v="6"/>
    <x v="1"/>
    <x v="2"/>
    <x v="150"/>
    <x v="0"/>
    <x v="0"/>
    <x v="126"/>
    <x v="0"/>
    <x v="0"/>
  </r>
  <r>
    <x v="154"/>
    <x v="154"/>
    <x v="0"/>
    <x v="1"/>
    <x v="5"/>
    <x v="16"/>
    <x v="0"/>
    <x v="0"/>
    <x v="151"/>
    <x v="0"/>
    <x v="0"/>
    <x v="90"/>
    <x v="3"/>
    <x v="1"/>
  </r>
  <r>
    <x v="155"/>
    <x v="155"/>
    <x v="0"/>
    <x v="7"/>
    <x v="6"/>
    <x v="9"/>
    <x v="1"/>
    <x v="0"/>
    <x v="152"/>
    <x v="0"/>
    <x v="0"/>
    <x v="127"/>
    <x v="1"/>
    <x v="1"/>
  </r>
  <r>
    <x v="156"/>
    <x v="156"/>
    <x v="0"/>
    <x v="3"/>
    <x v="0"/>
    <x v="3"/>
    <x v="1"/>
    <x v="0"/>
    <x v="153"/>
    <x v="0"/>
    <x v="0"/>
    <x v="14"/>
    <x v="0"/>
    <x v="0"/>
  </r>
  <r>
    <x v="157"/>
    <x v="157"/>
    <x v="0"/>
    <x v="2"/>
    <x v="2"/>
    <x v="2"/>
    <x v="0"/>
    <x v="0"/>
    <x v="144"/>
    <x v="0"/>
    <x v="0"/>
    <x v="128"/>
    <x v="1"/>
    <x v="0"/>
  </r>
  <r>
    <x v="158"/>
    <x v="158"/>
    <x v="0"/>
    <x v="5"/>
    <x v="6"/>
    <x v="14"/>
    <x v="1"/>
    <x v="0"/>
    <x v="154"/>
    <x v="0"/>
    <x v="0"/>
    <x v="117"/>
    <x v="0"/>
    <x v="0"/>
  </r>
  <r>
    <x v="159"/>
    <x v="159"/>
    <x v="1"/>
    <x v="4"/>
    <x v="6"/>
    <x v="15"/>
    <x v="2"/>
    <x v="0"/>
    <x v="67"/>
    <x v="0"/>
    <x v="0"/>
    <x v="129"/>
    <x v="1"/>
    <x v="0"/>
  </r>
  <r>
    <x v="160"/>
    <x v="160"/>
    <x v="1"/>
    <x v="6"/>
    <x v="4"/>
    <x v="17"/>
    <x v="0"/>
    <x v="0"/>
    <x v="155"/>
    <x v="29"/>
    <x v="1"/>
    <x v="130"/>
    <x v="2"/>
    <x v="0"/>
  </r>
  <r>
    <x v="161"/>
    <x v="161"/>
    <x v="1"/>
    <x v="5"/>
    <x v="0"/>
    <x v="3"/>
    <x v="1"/>
    <x v="0"/>
    <x v="156"/>
    <x v="0"/>
    <x v="0"/>
    <x v="131"/>
    <x v="3"/>
    <x v="0"/>
  </r>
  <r>
    <x v="162"/>
    <x v="162"/>
    <x v="0"/>
    <x v="3"/>
    <x v="1"/>
    <x v="7"/>
    <x v="2"/>
    <x v="0"/>
    <x v="157"/>
    <x v="0"/>
    <x v="0"/>
    <x v="132"/>
    <x v="3"/>
    <x v="0"/>
  </r>
  <r>
    <x v="163"/>
    <x v="163"/>
    <x v="1"/>
    <x v="7"/>
    <x v="6"/>
    <x v="15"/>
    <x v="0"/>
    <x v="0"/>
    <x v="158"/>
    <x v="0"/>
    <x v="0"/>
    <x v="5"/>
    <x v="0"/>
    <x v="0"/>
  </r>
  <r>
    <x v="164"/>
    <x v="164"/>
    <x v="0"/>
    <x v="1"/>
    <x v="5"/>
    <x v="8"/>
    <x v="0"/>
    <x v="0"/>
    <x v="159"/>
    <x v="0"/>
    <x v="0"/>
    <x v="133"/>
    <x v="3"/>
    <x v="0"/>
  </r>
  <r>
    <x v="165"/>
    <x v="165"/>
    <x v="0"/>
    <x v="7"/>
    <x v="6"/>
    <x v="15"/>
    <x v="3"/>
    <x v="0"/>
    <x v="160"/>
    <x v="30"/>
    <x v="1"/>
    <x v="126"/>
    <x v="0"/>
    <x v="1"/>
  </r>
  <r>
    <x v="166"/>
    <x v="166"/>
    <x v="1"/>
    <x v="0"/>
    <x v="3"/>
    <x v="18"/>
    <x v="3"/>
    <x v="0"/>
    <x v="161"/>
    <x v="0"/>
    <x v="0"/>
    <x v="134"/>
    <x v="2"/>
    <x v="0"/>
  </r>
  <r>
    <x v="167"/>
    <x v="167"/>
    <x v="1"/>
    <x v="5"/>
    <x v="1"/>
    <x v="7"/>
    <x v="3"/>
    <x v="0"/>
    <x v="97"/>
    <x v="0"/>
    <x v="0"/>
    <x v="135"/>
    <x v="2"/>
    <x v="1"/>
  </r>
  <r>
    <x v="168"/>
    <x v="168"/>
    <x v="0"/>
    <x v="4"/>
    <x v="6"/>
    <x v="9"/>
    <x v="1"/>
    <x v="0"/>
    <x v="162"/>
    <x v="0"/>
    <x v="0"/>
    <x v="136"/>
    <x v="4"/>
    <x v="0"/>
  </r>
  <r>
    <x v="169"/>
    <x v="169"/>
    <x v="1"/>
    <x v="7"/>
    <x v="6"/>
    <x v="14"/>
    <x v="3"/>
    <x v="1"/>
    <x v="163"/>
    <x v="0"/>
    <x v="0"/>
    <x v="137"/>
    <x v="1"/>
    <x v="0"/>
  </r>
  <r>
    <x v="170"/>
    <x v="170"/>
    <x v="0"/>
    <x v="3"/>
    <x v="4"/>
    <x v="5"/>
    <x v="2"/>
    <x v="0"/>
    <x v="164"/>
    <x v="0"/>
    <x v="0"/>
    <x v="138"/>
    <x v="1"/>
    <x v="0"/>
  </r>
  <r>
    <x v="171"/>
    <x v="171"/>
    <x v="1"/>
    <x v="3"/>
    <x v="1"/>
    <x v="7"/>
    <x v="3"/>
    <x v="0"/>
    <x v="165"/>
    <x v="0"/>
    <x v="0"/>
    <x v="139"/>
    <x v="0"/>
    <x v="0"/>
  </r>
  <r>
    <x v="172"/>
    <x v="172"/>
    <x v="1"/>
    <x v="4"/>
    <x v="3"/>
    <x v="18"/>
    <x v="3"/>
    <x v="1"/>
    <x v="166"/>
    <x v="0"/>
    <x v="0"/>
    <x v="67"/>
    <x v="0"/>
    <x v="0"/>
  </r>
  <r>
    <x v="173"/>
    <x v="173"/>
    <x v="0"/>
    <x v="5"/>
    <x v="3"/>
    <x v="4"/>
    <x v="1"/>
    <x v="0"/>
    <x v="167"/>
    <x v="0"/>
    <x v="0"/>
    <x v="140"/>
    <x v="1"/>
    <x v="0"/>
  </r>
  <r>
    <x v="174"/>
    <x v="174"/>
    <x v="0"/>
    <x v="2"/>
    <x v="6"/>
    <x v="15"/>
    <x v="3"/>
    <x v="0"/>
    <x v="168"/>
    <x v="0"/>
    <x v="0"/>
    <x v="26"/>
    <x v="3"/>
    <x v="0"/>
  </r>
  <r>
    <x v="175"/>
    <x v="175"/>
    <x v="0"/>
    <x v="5"/>
    <x v="0"/>
    <x v="3"/>
    <x v="3"/>
    <x v="0"/>
    <x v="169"/>
    <x v="0"/>
    <x v="0"/>
    <x v="99"/>
    <x v="1"/>
    <x v="0"/>
  </r>
  <r>
    <x v="176"/>
    <x v="176"/>
    <x v="1"/>
    <x v="0"/>
    <x v="3"/>
    <x v="4"/>
    <x v="2"/>
    <x v="2"/>
    <x v="170"/>
    <x v="0"/>
    <x v="0"/>
    <x v="89"/>
    <x v="0"/>
    <x v="0"/>
  </r>
  <r>
    <x v="177"/>
    <x v="177"/>
    <x v="0"/>
    <x v="2"/>
    <x v="6"/>
    <x v="15"/>
    <x v="2"/>
    <x v="0"/>
    <x v="171"/>
    <x v="0"/>
    <x v="0"/>
    <x v="26"/>
    <x v="3"/>
    <x v="0"/>
  </r>
  <r>
    <x v="178"/>
    <x v="178"/>
    <x v="0"/>
    <x v="5"/>
    <x v="6"/>
    <x v="14"/>
    <x v="1"/>
    <x v="1"/>
    <x v="172"/>
    <x v="0"/>
    <x v="0"/>
    <x v="141"/>
    <x v="1"/>
    <x v="0"/>
  </r>
  <r>
    <x v="179"/>
    <x v="179"/>
    <x v="0"/>
    <x v="2"/>
    <x v="0"/>
    <x v="0"/>
    <x v="2"/>
    <x v="0"/>
    <x v="173"/>
    <x v="0"/>
    <x v="0"/>
    <x v="142"/>
    <x v="2"/>
    <x v="1"/>
  </r>
  <r>
    <x v="180"/>
    <x v="180"/>
    <x v="1"/>
    <x v="2"/>
    <x v="3"/>
    <x v="18"/>
    <x v="3"/>
    <x v="1"/>
    <x v="174"/>
    <x v="0"/>
    <x v="0"/>
    <x v="143"/>
    <x v="0"/>
    <x v="0"/>
  </r>
  <r>
    <x v="181"/>
    <x v="181"/>
    <x v="1"/>
    <x v="1"/>
    <x v="6"/>
    <x v="14"/>
    <x v="2"/>
    <x v="0"/>
    <x v="175"/>
    <x v="0"/>
    <x v="0"/>
    <x v="144"/>
    <x v="0"/>
    <x v="0"/>
  </r>
  <r>
    <x v="182"/>
    <x v="182"/>
    <x v="1"/>
    <x v="3"/>
    <x v="4"/>
    <x v="17"/>
    <x v="0"/>
    <x v="0"/>
    <x v="176"/>
    <x v="0"/>
    <x v="0"/>
    <x v="96"/>
    <x v="1"/>
    <x v="0"/>
  </r>
  <r>
    <x v="183"/>
    <x v="183"/>
    <x v="0"/>
    <x v="7"/>
    <x v="6"/>
    <x v="15"/>
    <x v="3"/>
    <x v="0"/>
    <x v="177"/>
    <x v="0"/>
    <x v="0"/>
    <x v="23"/>
    <x v="1"/>
    <x v="0"/>
  </r>
  <r>
    <x v="184"/>
    <x v="184"/>
    <x v="1"/>
    <x v="0"/>
    <x v="2"/>
    <x v="13"/>
    <x v="0"/>
    <x v="0"/>
    <x v="140"/>
    <x v="0"/>
    <x v="0"/>
    <x v="34"/>
    <x v="3"/>
    <x v="0"/>
  </r>
  <r>
    <x v="185"/>
    <x v="185"/>
    <x v="1"/>
    <x v="1"/>
    <x v="6"/>
    <x v="9"/>
    <x v="1"/>
    <x v="0"/>
    <x v="178"/>
    <x v="0"/>
    <x v="0"/>
    <x v="15"/>
    <x v="1"/>
    <x v="0"/>
  </r>
  <r>
    <x v="186"/>
    <x v="186"/>
    <x v="0"/>
    <x v="6"/>
    <x v="6"/>
    <x v="15"/>
    <x v="0"/>
    <x v="0"/>
    <x v="179"/>
    <x v="0"/>
    <x v="0"/>
    <x v="81"/>
    <x v="1"/>
    <x v="1"/>
  </r>
  <r>
    <x v="187"/>
    <x v="187"/>
    <x v="1"/>
    <x v="0"/>
    <x v="2"/>
    <x v="13"/>
    <x v="2"/>
    <x v="0"/>
    <x v="180"/>
    <x v="0"/>
    <x v="0"/>
    <x v="91"/>
    <x v="2"/>
    <x v="0"/>
  </r>
  <r>
    <x v="188"/>
    <x v="188"/>
    <x v="1"/>
    <x v="0"/>
    <x v="3"/>
    <x v="6"/>
    <x v="0"/>
    <x v="0"/>
    <x v="181"/>
    <x v="0"/>
    <x v="0"/>
    <x v="45"/>
    <x v="3"/>
    <x v="1"/>
  </r>
  <r>
    <x v="189"/>
    <x v="189"/>
    <x v="1"/>
    <x v="6"/>
    <x v="6"/>
    <x v="14"/>
    <x v="0"/>
    <x v="0"/>
    <x v="121"/>
    <x v="0"/>
    <x v="0"/>
    <x v="106"/>
    <x v="4"/>
    <x v="0"/>
  </r>
  <r>
    <x v="190"/>
    <x v="190"/>
    <x v="0"/>
    <x v="7"/>
    <x v="3"/>
    <x v="18"/>
    <x v="1"/>
    <x v="0"/>
    <x v="182"/>
    <x v="0"/>
    <x v="0"/>
    <x v="145"/>
    <x v="0"/>
    <x v="0"/>
  </r>
  <r>
    <x v="191"/>
    <x v="191"/>
    <x v="0"/>
    <x v="1"/>
    <x v="6"/>
    <x v="15"/>
    <x v="0"/>
    <x v="0"/>
    <x v="183"/>
    <x v="0"/>
    <x v="0"/>
    <x v="146"/>
    <x v="2"/>
    <x v="1"/>
  </r>
  <r>
    <x v="192"/>
    <x v="192"/>
    <x v="0"/>
    <x v="5"/>
    <x v="0"/>
    <x v="0"/>
    <x v="1"/>
    <x v="0"/>
    <x v="184"/>
    <x v="0"/>
    <x v="0"/>
    <x v="147"/>
    <x v="0"/>
    <x v="0"/>
  </r>
  <r>
    <x v="193"/>
    <x v="193"/>
    <x v="0"/>
    <x v="2"/>
    <x v="0"/>
    <x v="0"/>
    <x v="2"/>
    <x v="0"/>
    <x v="185"/>
    <x v="0"/>
    <x v="0"/>
    <x v="148"/>
    <x v="3"/>
    <x v="0"/>
  </r>
  <r>
    <x v="194"/>
    <x v="194"/>
    <x v="0"/>
    <x v="1"/>
    <x v="3"/>
    <x v="6"/>
    <x v="2"/>
    <x v="0"/>
    <x v="186"/>
    <x v="0"/>
    <x v="0"/>
    <x v="118"/>
    <x v="1"/>
    <x v="0"/>
  </r>
  <r>
    <x v="195"/>
    <x v="195"/>
    <x v="0"/>
    <x v="0"/>
    <x v="5"/>
    <x v="8"/>
    <x v="0"/>
    <x v="0"/>
    <x v="187"/>
    <x v="0"/>
    <x v="0"/>
    <x v="149"/>
    <x v="0"/>
    <x v="0"/>
  </r>
  <r>
    <x v="196"/>
    <x v="196"/>
    <x v="1"/>
    <x v="5"/>
    <x v="0"/>
    <x v="0"/>
    <x v="1"/>
    <x v="2"/>
    <x v="188"/>
    <x v="0"/>
    <x v="0"/>
    <x v="8"/>
    <x v="3"/>
    <x v="1"/>
  </r>
  <r>
    <x v="197"/>
    <x v="197"/>
    <x v="1"/>
    <x v="6"/>
    <x v="6"/>
    <x v="15"/>
    <x v="2"/>
    <x v="0"/>
    <x v="189"/>
    <x v="0"/>
    <x v="0"/>
    <x v="12"/>
    <x v="2"/>
    <x v="1"/>
  </r>
  <r>
    <x v="198"/>
    <x v="198"/>
    <x v="0"/>
    <x v="3"/>
    <x v="6"/>
    <x v="14"/>
    <x v="3"/>
    <x v="0"/>
    <x v="190"/>
    <x v="0"/>
    <x v="0"/>
    <x v="150"/>
    <x v="0"/>
    <x v="0"/>
  </r>
  <r>
    <x v="199"/>
    <x v="199"/>
    <x v="0"/>
    <x v="1"/>
    <x v="2"/>
    <x v="19"/>
    <x v="1"/>
    <x v="0"/>
    <x v="191"/>
    <x v="31"/>
    <x v="1"/>
    <x v="151"/>
    <x v="1"/>
    <x v="1"/>
  </r>
  <r>
    <x v="200"/>
    <x v="200"/>
    <x v="0"/>
    <x v="3"/>
    <x v="1"/>
    <x v="10"/>
    <x v="0"/>
    <x v="0"/>
    <x v="192"/>
    <x v="0"/>
    <x v="0"/>
    <x v="152"/>
    <x v="1"/>
    <x v="0"/>
  </r>
  <r>
    <x v="201"/>
    <x v="201"/>
    <x v="0"/>
    <x v="7"/>
    <x v="6"/>
    <x v="15"/>
    <x v="3"/>
    <x v="0"/>
    <x v="193"/>
    <x v="0"/>
    <x v="0"/>
    <x v="153"/>
    <x v="1"/>
    <x v="0"/>
  </r>
  <r>
    <x v="202"/>
    <x v="202"/>
    <x v="1"/>
    <x v="1"/>
    <x v="5"/>
    <x v="8"/>
    <x v="1"/>
    <x v="0"/>
    <x v="194"/>
    <x v="0"/>
    <x v="0"/>
    <x v="154"/>
    <x v="1"/>
    <x v="0"/>
  </r>
  <r>
    <x v="203"/>
    <x v="203"/>
    <x v="0"/>
    <x v="7"/>
    <x v="3"/>
    <x v="4"/>
    <x v="3"/>
    <x v="1"/>
    <x v="195"/>
    <x v="32"/>
    <x v="1"/>
    <x v="155"/>
    <x v="0"/>
    <x v="1"/>
  </r>
  <r>
    <x v="204"/>
    <x v="204"/>
    <x v="0"/>
    <x v="7"/>
    <x v="2"/>
    <x v="13"/>
    <x v="3"/>
    <x v="0"/>
    <x v="196"/>
    <x v="0"/>
    <x v="0"/>
    <x v="156"/>
    <x v="0"/>
    <x v="0"/>
  </r>
  <r>
    <x v="205"/>
    <x v="205"/>
    <x v="1"/>
    <x v="0"/>
    <x v="5"/>
    <x v="8"/>
    <x v="3"/>
    <x v="0"/>
    <x v="197"/>
    <x v="33"/>
    <x v="1"/>
    <x v="157"/>
    <x v="1"/>
    <x v="0"/>
  </r>
  <r>
    <x v="206"/>
    <x v="206"/>
    <x v="1"/>
    <x v="3"/>
    <x v="1"/>
    <x v="10"/>
    <x v="1"/>
    <x v="1"/>
    <x v="198"/>
    <x v="33"/>
    <x v="1"/>
    <x v="158"/>
    <x v="1"/>
    <x v="0"/>
  </r>
  <r>
    <x v="207"/>
    <x v="207"/>
    <x v="1"/>
    <x v="7"/>
    <x v="6"/>
    <x v="14"/>
    <x v="0"/>
    <x v="0"/>
    <x v="199"/>
    <x v="0"/>
    <x v="0"/>
    <x v="71"/>
    <x v="1"/>
    <x v="0"/>
  </r>
  <r>
    <x v="208"/>
    <x v="208"/>
    <x v="0"/>
    <x v="2"/>
    <x v="5"/>
    <x v="8"/>
    <x v="0"/>
    <x v="0"/>
    <x v="200"/>
    <x v="0"/>
    <x v="0"/>
    <x v="52"/>
    <x v="2"/>
    <x v="0"/>
  </r>
  <r>
    <x v="209"/>
    <x v="209"/>
    <x v="0"/>
    <x v="5"/>
    <x v="2"/>
    <x v="13"/>
    <x v="2"/>
    <x v="2"/>
    <x v="201"/>
    <x v="0"/>
    <x v="0"/>
    <x v="159"/>
    <x v="1"/>
    <x v="1"/>
  </r>
  <r>
    <x v="210"/>
    <x v="210"/>
    <x v="1"/>
    <x v="2"/>
    <x v="3"/>
    <x v="18"/>
    <x v="1"/>
    <x v="0"/>
    <x v="202"/>
    <x v="0"/>
    <x v="0"/>
    <x v="160"/>
    <x v="1"/>
    <x v="1"/>
  </r>
  <r>
    <x v="211"/>
    <x v="211"/>
    <x v="0"/>
    <x v="2"/>
    <x v="5"/>
    <x v="16"/>
    <x v="2"/>
    <x v="0"/>
    <x v="127"/>
    <x v="0"/>
    <x v="0"/>
    <x v="41"/>
    <x v="0"/>
    <x v="0"/>
  </r>
  <r>
    <x v="212"/>
    <x v="212"/>
    <x v="1"/>
    <x v="7"/>
    <x v="2"/>
    <x v="2"/>
    <x v="2"/>
    <x v="0"/>
    <x v="203"/>
    <x v="0"/>
    <x v="0"/>
    <x v="161"/>
    <x v="1"/>
    <x v="0"/>
  </r>
  <r>
    <x v="213"/>
    <x v="213"/>
    <x v="1"/>
    <x v="6"/>
    <x v="1"/>
    <x v="10"/>
    <x v="0"/>
    <x v="0"/>
    <x v="204"/>
    <x v="0"/>
    <x v="0"/>
    <x v="162"/>
    <x v="0"/>
    <x v="1"/>
  </r>
  <r>
    <x v="214"/>
    <x v="214"/>
    <x v="0"/>
    <x v="0"/>
    <x v="5"/>
    <x v="12"/>
    <x v="3"/>
    <x v="0"/>
    <x v="205"/>
    <x v="0"/>
    <x v="0"/>
    <x v="163"/>
    <x v="1"/>
    <x v="1"/>
  </r>
  <r>
    <x v="215"/>
    <x v="215"/>
    <x v="0"/>
    <x v="0"/>
    <x v="3"/>
    <x v="4"/>
    <x v="0"/>
    <x v="0"/>
    <x v="206"/>
    <x v="0"/>
    <x v="0"/>
    <x v="94"/>
    <x v="3"/>
    <x v="0"/>
  </r>
  <r>
    <x v="216"/>
    <x v="216"/>
    <x v="0"/>
    <x v="2"/>
    <x v="0"/>
    <x v="3"/>
    <x v="0"/>
    <x v="0"/>
    <x v="207"/>
    <x v="0"/>
    <x v="0"/>
    <x v="164"/>
    <x v="4"/>
    <x v="0"/>
  </r>
  <r>
    <x v="217"/>
    <x v="217"/>
    <x v="0"/>
    <x v="5"/>
    <x v="6"/>
    <x v="14"/>
    <x v="0"/>
    <x v="0"/>
    <x v="208"/>
    <x v="0"/>
    <x v="0"/>
    <x v="165"/>
    <x v="1"/>
    <x v="1"/>
  </r>
  <r>
    <x v="218"/>
    <x v="218"/>
    <x v="1"/>
    <x v="2"/>
    <x v="5"/>
    <x v="16"/>
    <x v="2"/>
    <x v="0"/>
    <x v="209"/>
    <x v="0"/>
    <x v="0"/>
    <x v="73"/>
    <x v="2"/>
    <x v="1"/>
  </r>
  <r>
    <x v="219"/>
    <x v="219"/>
    <x v="1"/>
    <x v="5"/>
    <x v="5"/>
    <x v="12"/>
    <x v="3"/>
    <x v="0"/>
    <x v="8"/>
    <x v="34"/>
    <x v="1"/>
    <x v="138"/>
    <x v="1"/>
    <x v="1"/>
  </r>
  <r>
    <x v="220"/>
    <x v="220"/>
    <x v="1"/>
    <x v="5"/>
    <x v="6"/>
    <x v="9"/>
    <x v="3"/>
    <x v="0"/>
    <x v="210"/>
    <x v="0"/>
    <x v="0"/>
    <x v="166"/>
    <x v="1"/>
    <x v="0"/>
  </r>
  <r>
    <x v="221"/>
    <x v="221"/>
    <x v="1"/>
    <x v="5"/>
    <x v="5"/>
    <x v="12"/>
    <x v="1"/>
    <x v="1"/>
    <x v="211"/>
    <x v="0"/>
    <x v="0"/>
    <x v="167"/>
    <x v="0"/>
    <x v="0"/>
  </r>
  <r>
    <x v="222"/>
    <x v="222"/>
    <x v="1"/>
    <x v="2"/>
    <x v="3"/>
    <x v="4"/>
    <x v="2"/>
    <x v="2"/>
    <x v="201"/>
    <x v="0"/>
    <x v="0"/>
    <x v="26"/>
    <x v="2"/>
    <x v="0"/>
  </r>
  <r>
    <x v="223"/>
    <x v="223"/>
    <x v="1"/>
    <x v="7"/>
    <x v="1"/>
    <x v="10"/>
    <x v="2"/>
    <x v="0"/>
    <x v="212"/>
    <x v="0"/>
    <x v="0"/>
    <x v="168"/>
    <x v="3"/>
    <x v="1"/>
  </r>
  <r>
    <x v="224"/>
    <x v="224"/>
    <x v="1"/>
    <x v="0"/>
    <x v="0"/>
    <x v="3"/>
    <x v="0"/>
    <x v="0"/>
    <x v="213"/>
    <x v="0"/>
    <x v="0"/>
    <x v="169"/>
    <x v="0"/>
    <x v="1"/>
  </r>
  <r>
    <x v="225"/>
    <x v="225"/>
    <x v="0"/>
    <x v="3"/>
    <x v="0"/>
    <x v="11"/>
    <x v="3"/>
    <x v="0"/>
    <x v="214"/>
    <x v="0"/>
    <x v="0"/>
    <x v="36"/>
    <x v="0"/>
    <x v="0"/>
  </r>
  <r>
    <x v="226"/>
    <x v="226"/>
    <x v="1"/>
    <x v="4"/>
    <x v="6"/>
    <x v="14"/>
    <x v="1"/>
    <x v="0"/>
    <x v="215"/>
    <x v="0"/>
    <x v="0"/>
    <x v="170"/>
    <x v="1"/>
    <x v="1"/>
  </r>
  <r>
    <x v="227"/>
    <x v="227"/>
    <x v="1"/>
    <x v="0"/>
    <x v="5"/>
    <x v="8"/>
    <x v="1"/>
    <x v="0"/>
    <x v="151"/>
    <x v="0"/>
    <x v="0"/>
    <x v="171"/>
    <x v="2"/>
    <x v="1"/>
  </r>
  <r>
    <x v="228"/>
    <x v="228"/>
    <x v="0"/>
    <x v="4"/>
    <x v="6"/>
    <x v="15"/>
    <x v="3"/>
    <x v="0"/>
    <x v="216"/>
    <x v="35"/>
    <x v="1"/>
    <x v="141"/>
    <x v="3"/>
    <x v="0"/>
  </r>
  <r>
    <x v="229"/>
    <x v="229"/>
    <x v="1"/>
    <x v="4"/>
    <x v="6"/>
    <x v="15"/>
    <x v="1"/>
    <x v="0"/>
    <x v="217"/>
    <x v="0"/>
    <x v="0"/>
    <x v="26"/>
    <x v="0"/>
    <x v="0"/>
  </r>
  <r>
    <x v="230"/>
    <x v="230"/>
    <x v="0"/>
    <x v="1"/>
    <x v="3"/>
    <x v="4"/>
    <x v="0"/>
    <x v="1"/>
    <x v="218"/>
    <x v="36"/>
    <x v="1"/>
    <x v="172"/>
    <x v="3"/>
    <x v="0"/>
  </r>
  <r>
    <x v="231"/>
    <x v="231"/>
    <x v="1"/>
    <x v="1"/>
    <x v="2"/>
    <x v="19"/>
    <x v="1"/>
    <x v="0"/>
    <x v="219"/>
    <x v="0"/>
    <x v="0"/>
    <x v="173"/>
    <x v="2"/>
    <x v="0"/>
  </r>
  <r>
    <x v="232"/>
    <x v="232"/>
    <x v="1"/>
    <x v="0"/>
    <x v="1"/>
    <x v="10"/>
    <x v="0"/>
    <x v="0"/>
    <x v="220"/>
    <x v="0"/>
    <x v="0"/>
    <x v="55"/>
    <x v="2"/>
    <x v="0"/>
  </r>
  <r>
    <x v="233"/>
    <x v="233"/>
    <x v="0"/>
    <x v="0"/>
    <x v="1"/>
    <x v="10"/>
    <x v="1"/>
    <x v="0"/>
    <x v="221"/>
    <x v="0"/>
    <x v="0"/>
    <x v="174"/>
    <x v="1"/>
    <x v="1"/>
  </r>
  <r>
    <x v="234"/>
    <x v="234"/>
    <x v="1"/>
    <x v="4"/>
    <x v="3"/>
    <x v="6"/>
    <x v="0"/>
    <x v="0"/>
    <x v="222"/>
    <x v="0"/>
    <x v="0"/>
    <x v="71"/>
    <x v="3"/>
    <x v="0"/>
  </r>
  <r>
    <x v="235"/>
    <x v="235"/>
    <x v="1"/>
    <x v="6"/>
    <x v="0"/>
    <x v="3"/>
    <x v="1"/>
    <x v="0"/>
    <x v="223"/>
    <x v="0"/>
    <x v="0"/>
    <x v="98"/>
    <x v="0"/>
    <x v="0"/>
  </r>
  <r>
    <x v="236"/>
    <x v="236"/>
    <x v="1"/>
    <x v="3"/>
    <x v="6"/>
    <x v="15"/>
    <x v="3"/>
    <x v="0"/>
    <x v="156"/>
    <x v="0"/>
    <x v="0"/>
    <x v="175"/>
    <x v="0"/>
    <x v="0"/>
  </r>
  <r>
    <x v="237"/>
    <x v="237"/>
    <x v="0"/>
    <x v="5"/>
    <x v="6"/>
    <x v="9"/>
    <x v="1"/>
    <x v="0"/>
    <x v="224"/>
    <x v="0"/>
    <x v="0"/>
    <x v="176"/>
    <x v="4"/>
    <x v="0"/>
  </r>
  <r>
    <x v="238"/>
    <x v="238"/>
    <x v="1"/>
    <x v="2"/>
    <x v="6"/>
    <x v="15"/>
    <x v="0"/>
    <x v="0"/>
    <x v="225"/>
    <x v="37"/>
    <x v="1"/>
    <x v="110"/>
    <x v="3"/>
    <x v="0"/>
  </r>
  <r>
    <x v="239"/>
    <x v="239"/>
    <x v="1"/>
    <x v="0"/>
    <x v="2"/>
    <x v="13"/>
    <x v="0"/>
    <x v="0"/>
    <x v="226"/>
    <x v="0"/>
    <x v="0"/>
    <x v="4"/>
    <x v="3"/>
    <x v="0"/>
  </r>
  <r>
    <x v="240"/>
    <x v="240"/>
    <x v="0"/>
    <x v="4"/>
    <x v="6"/>
    <x v="9"/>
    <x v="3"/>
    <x v="0"/>
    <x v="227"/>
    <x v="0"/>
    <x v="0"/>
    <x v="177"/>
    <x v="1"/>
    <x v="1"/>
  </r>
  <r>
    <x v="241"/>
    <x v="241"/>
    <x v="1"/>
    <x v="0"/>
    <x v="2"/>
    <x v="19"/>
    <x v="0"/>
    <x v="1"/>
    <x v="228"/>
    <x v="0"/>
    <x v="0"/>
    <x v="178"/>
    <x v="2"/>
    <x v="0"/>
  </r>
  <r>
    <x v="242"/>
    <x v="242"/>
    <x v="1"/>
    <x v="6"/>
    <x v="1"/>
    <x v="10"/>
    <x v="2"/>
    <x v="0"/>
    <x v="229"/>
    <x v="0"/>
    <x v="0"/>
    <x v="179"/>
    <x v="0"/>
    <x v="0"/>
  </r>
  <r>
    <x v="243"/>
    <x v="243"/>
    <x v="0"/>
    <x v="0"/>
    <x v="3"/>
    <x v="6"/>
    <x v="3"/>
    <x v="0"/>
    <x v="230"/>
    <x v="0"/>
    <x v="0"/>
    <x v="180"/>
    <x v="3"/>
    <x v="0"/>
  </r>
  <r>
    <x v="244"/>
    <x v="244"/>
    <x v="1"/>
    <x v="1"/>
    <x v="1"/>
    <x v="1"/>
    <x v="3"/>
    <x v="0"/>
    <x v="231"/>
    <x v="0"/>
    <x v="0"/>
    <x v="181"/>
    <x v="0"/>
    <x v="0"/>
  </r>
  <r>
    <x v="245"/>
    <x v="245"/>
    <x v="0"/>
    <x v="5"/>
    <x v="1"/>
    <x v="7"/>
    <x v="2"/>
    <x v="0"/>
    <x v="232"/>
    <x v="0"/>
    <x v="0"/>
    <x v="182"/>
    <x v="0"/>
    <x v="1"/>
  </r>
  <r>
    <x v="246"/>
    <x v="246"/>
    <x v="0"/>
    <x v="6"/>
    <x v="1"/>
    <x v="1"/>
    <x v="2"/>
    <x v="0"/>
    <x v="233"/>
    <x v="0"/>
    <x v="0"/>
    <x v="183"/>
    <x v="0"/>
    <x v="1"/>
  </r>
  <r>
    <x v="247"/>
    <x v="247"/>
    <x v="1"/>
    <x v="2"/>
    <x v="0"/>
    <x v="3"/>
    <x v="2"/>
    <x v="0"/>
    <x v="234"/>
    <x v="0"/>
    <x v="0"/>
    <x v="184"/>
    <x v="0"/>
    <x v="0"/>
  </r>
  <r>
    <x v="248"/>
    <x v="248"/>
    <x v="1"/>
    <x v="2"/>
    <x v="3"/>
    <x v="6"/>
    <x v="0"/>
    <x v="0"/>
    <x v="235"/>
    <x v="0"/>
    <x v="0"/>
    <x v="176"/>
    <x v="0"/>
    <x v="0"/>
  </r>
  <r>
    <x v="249"/>
    <x v="249"/>
    <x v="1"/>
    <x v="0"/>
    <x v="5"/>
    <x v="8"/>
    <x v="1"/>
    <x v="0"/>
    <x v="236"/>
    <x v="0"/>
    <x v="0"/>
    <x v="185"/>
    <x v="0"/>
    <x v="0"/>
  </r>
  <r>
    <x v="250"/>
    <x v="250"/>
    <x v="0"/>
    <x v="2"/>
    <x v="1"/>
    <x v="7"/>
    <x v="3"/>
    <x v="0"/>
    <x v="237"/>
    <x v="0"/>
    <x v="0"/>
    <x v="186"/>
    <x v="2"/>
    <x v="1"/>
  </r>
  <r>
    <x v="251"/>
    <x v="251"/>
    <x v="0"/>
    <x v="6"/>
    <x v="5"/>
    <x v="12"/>
    <x v="3"/>
    <x v="1"/>
    <x v="238"/>
    <x v="38"/>
    <x v="1"/>
    <x v="187"/>
    <x v="2"/>
    <x v="0"/>
  </r>
  <r>
    <x v="252"/>
    <x v="252"/>
    <x v="1"/>
    <x v="5"/>
    <x v="0"/>
    <x v="11"/>
    <x v="2"/>
    <x v="0"/>
    <x v="75"/>
    <x v="0"/>
    <x v="0"/>
    <x v="188"/>
    <x v="0"/>
    <x v="0"/>
  </r>
  <r>
    <x v="253"/>
    <x v="253"/>
    <x v="0"/>
    <x v="0"/>
    <x v="5"/>
    <x v="8"/>
    <x v="3"/>
    <x v="0"/>
    <x v="239"/>
    <x v="39"/>
    <x v="1"/>
    <x v="21"/>
    <x v="1"/>
    <x v="0"/>
  </r>
  <r>
    <x v="254"/>
    <x v="254"/>
    <x v="1"/>
    <x v="7"/>
    <x v="0"/>
    <x v="11"/>
    <x v="0"/>
    <x v="0"/>
    <x v="240"/>
    <x v="0"/>
    <x v="0"/>
    <x v="189"/>
    <x v="0"/>
    <x v="0"/>
  </r>
  <r>
    <x v="255"/>
    <x v="255"/>
    <x v="1"/>
    <x v="7"/>
    <x v="0"/>
    <x v="0"/>
    <x v="2"/>
    <x v="0"/>
    <x v="241"/>
    <x v="0"/>
    <x v="0"/>
    <x v="190"/>
    <x v="0"/>
    <x v="0"/>
  </r>
  <r>
    <x v="256"/>
    <x v="256"/>
    <x v="0"/>
    <x v="6"/>
    <x v="4"/>
    <x v="5"/>
    <x v="2"/>
    <x v="0"/>
    <x v="242"/>
    <x v="40"/>
    <x v="1"/>
    <x v="191"/>
    <x v="2"/>
    <x v="0"/>
  </r>
  <r>
    <x v="257"/>
    <x v="257"/>
    <x v="0"/>
    <x v="5"/>
    <x v="6"/>
    <x v="15"/>
    <x v="2"/>
    <x v="0"/>
    <x v="243"/>
    <x v="0"/>
    <x v="0"/>
    <x v="192"/>
    <x v="3"/>
    <x v="0"/>
  </r>
  <r>
    <x v="258"/>
    <x v="258"/>
    <x v="0"/>
    <x v="3"/>
    <x v="0"/>
    <x v="3"/>
    <x v="3"/>
    <x v="1"/>
    <x v="244"/>
    <x v="0"/>
    <x v="0"/>
    <x v="193"/>
    <x v="0"/>
    <x v="0"/>
  </r>
  <r>
    <x v="259"/>
    <x v="259"/>
    <x v="0"/>
    <x v="4"/>
    <x v="6"/>
    <x v="14"/>
    <x v="2"/>
    <x v="1"/>
    <x v="121"/>
    <x v="41"/>
    <x v="1"/>
    <x v="194"/>
    <x v="0"/>
    <x v="1"/>
  </r>
  <r>
    <x v="260"/>
    <x v="260"/>
    <x v="0"/>
    <x v="7"/>
    <x v="2"/>
    <x v="13"/>
    <x v="1"/>
    <x v="0"/>
    <x v="245"/>
    <x v="0"/>
    <x v="0"/>
    <x v="20"/>
    <x v="2"/>
    <x v="1"/>
  </r>
  <r>
    <x v="261"/>
    <x v="261"/>
    <x v="1"/>
    <x v="5"/>
    <x v="5"/>
    <x v="16"/>
    <x v="3"/>
    <x v="2"/>
    <x v="246"/>
    <x v="0"/>
    <x v="0"/>
    <x v="152"/>
    <x v="1"/>
    <x v="0"/>
  </r>
  <r>
    <x v="262"/>
    <x v="262"/>
    <x v="0"/>
    <x v="1"/>
    <x v="0"/>
    <x v="3"/>
    <x v="1"/>
    <x v="0"/>
    <x v="247"/>
    <x v="0"/>
    <x v="0"/>
    <x v="70"/>
    <x v="1"/>
    <x v="1"/>
  </r>
  <r>
    <x v="263"/>
    <x v="263"/>
    <x v="1"/>
    <x v="3"/>
    <x v="0"/>
    <x v="3"/>
    <x v="3"/>
    <x v="0"/>
    <x v="248"/>
    <x v="0"/>
    <x v="0"/>
    <x v="195"/>
    <x v="1"/>
    <x v="0"/>
  </r>
  <r>
    <x v="264"/>
    <x v="264"/>
    <x v="1"/>
    <x v="7"/>
    <x v="5"/>
    <x v="16"/>
    <x v="3"/>
    <x v="0"/>
    <x v="249"/>
    <x v="0"/>
    <x v="0"/>
    <x v="136"/>
    <x v="1"/>
    <x v="0"/>
  </r>
  <r>
    <x v="265"/>
    <x v="265"/>
    <x v="1"/>
    <x v="5"/>
    <x v="1"/>
    <x v="10"/>
    <x v="0"/>
    <x v="0"/>
    <x v="250"/>
    <x v="0"/>
    <x v="0"/>
    <x v="196"/>
    <x v="1"/>
    <x v="0"/>
  </r>
  <r>
    <x v="266"/>
    <x v="266"/>
    <x v="0"/>
    <x v="0"/>
    <x v="6"/>
    <x v="9"/>
    <x v="0"/>
    <x v="0"/>
    <x v="41"/>
    <x v="0"/>
    <x v="0"/>
    <x v="71"/>
    <x v="2"/>
    <x v="1"/>
  </r>
  <r>
    <x v="267"/>
    <x v="267"/>
    <x v="0"/>
    <x v="1"/>
    <x v="5"/>
    <x v="16"/>
    <x v="1"/>
    <x v="0"/>
    <x v="251"/>
    <x v="0"/>
    <x v="0"/>
    <x v="197"/>
    <x v="1"/>
    <x v="1"/>
  </r>
  <r>
    <x v="268"/>
    <x v="268"/>
    <x v="1"/>
    <x v="3"/>
    <x v="5"/>
    <x v="16"/>
    <x v="2"/>
    <x v="1"/>
    <x v="252"/>
    <x v="0"/>
    <x v="0"/>
    <x v="198"/>
    <x v="1"/>
    <x v="0"/>
  </r>
  <r>
    <x v="269"/>
    <x v="269"/>
    <x v="0"/>
    <x v="6"/>
    <x v="5"/>
    <x v="12"/>
    <x v="3"/>
    <x v="1"/>
    <x v="253"/>
    <x v="0"/>
    <x v="0"/>
    <x v="153"/>
    <x v="1"/>
    <x v="0"/>
  </r>
  <r>
    <x v="270"/>
    <x v="270"/>
    <x v="1"/>
    <x v="2"/>
    <x v="4"/>
    <x v="17"/>
    <x v="1"/>
    <x v="0"/>
    <x v="254"/>
    <x v="0"/>
    <x v="0"/>
    <x v="199"/>
    <x v="1"/>
    <x v="1"/>
  </r>
  <r>
    <x v="271"/>
    <x v="271"/>
    <x v="1"/>
    <x v="5"/>
    <x v="6"/>
    <x v="14"/>
    <x v="3"/>
    <x v="1"/>
    <x v="255"/>
    <x v="0"/>
    <x v="0"/>
    <x v="200"/>
    <x v="3"/>
    <x v="1"/>
  </r>
  <r>
    <x v="272"/>
    <x v="272"/>
    <x v="1"/>
    <x v="5"/>
    <x v="3"/>
    <x v="6"/>
    <x v="3"/>
    <x v="1"/>
    <x v="256"/>
    <x v="0"/>
    <x v="0"/>
    <x v="71"/>
    <x v="1"/>
    <x v="0"/>
  </r>
  <r>
    <x v="273"/>
    <x v="273"/>
    <x v="0"/>
    <x v="3"/>
    <x v="6"/>
    <x v="9"/>
    <x v="3"/>
    <x v="1"/>
    <x v="257"/>
    <x v="0"/>
    <x v="0"/>
    <x v="201"/>
    <x v="0"/>
    <x v="1"/>
  </r>
  <r>
    <x v="274"/>
    <x v="274"/>
    <x v="1"/>
    <x v="7"/>
    <x v="0"/>
    <x v="3"/>
    <x v="0"/>
    <x v="1"/>
    <x v="258"/>
    <x v="0"/>
    <x v="0"/>
    <x v="202"/>
    <x v="1"/>
    <x v="0"/>
  </r>
  <r>
    <x v="275"/>
    <x v="275"/>
    <x v="1"/>
    <x v="5"/>
    <x v="2"/>
    <x v="2"/>
    <x v="2"/>
    <x v="0"/>
    <x v="259"/>
    <x v="0"/>
    <x v="0"/>
    <x v="203"/>
    <x v="0"/>
    <x v="1"/>
  </r>
  <r>
    <x v="276"/>
    <x v="276"/>
    <x v="0"/>
    <x v="1"/>
    <x v="0"/>
    <x v="3"/>
    <x v="1"/>
    <x v="0"/>
    <x v="260"/>
    <x v="0"/>
    <x v="0"/>
    <x v="66"/>
    <x v="1"/>
    <x v="0"/>
  </r>
  <r>
    <x v="277"/>
    <x v="277"/>
    <x v="0"/>
    <x v="0"/>
    <x v="5"/>
    <x v="12"/>
    <x v="2"/>
    <x v="0"/>
    <x v="261"/>
    <x v="0"/>
    <x v="0"/>
    <x v="143"/>
    <x v="1"/>
    <x v="0"/>
  </r>
  <r>
    <x v="278"/>
    <x v="278"/>
    <x v="0"/>
    <x v="4"/>
    <x v="1"/>
    <x v="1"/>
    <x v="0"/>
    <x v="0"/>
    <x v="262"/>
    <x v="0"/>
    <x v="0"/>
    <x v="52"/>
    <x v="3"/>
    <x v="0"/>
  </r>
  <r>
    <x v="279"/>
    <x v="279"/>
    <x v="1"/>
    <x v="4"/>
    <x v="4"/>
    <x v="20"/>
    <x v="0"/>
    <x v="0"/>
    <x v="263"/>
    <x v="42"/>
    <x v="1"/>
    <x v="107"/>
    <x v="0"/>
    <x v="0"/>
  </r>
  <r>
    <x v="280"/>
    <x v="280"/>
    <x v="0"/>
    <x v="4"/>
    <x v="2"/>
    <x v="2"/>
    <x v="3"/>
    <x v="0"/>
    <x v="264"/>
    <x v="43"/>
    <x v="1"/>
    <x v="178"/>
    <x v="1"/>
    <x v="1"/>
  </r>
  <r>
    <x v="281"/>
    <x v="281"/>
    <x v="0"/>
    <x v="1"/>
    <x v="4"/>
    <x v="17"/>
    <x v="0"/>
    <x v="1"/>
    <x v="265"/>
    <x v="0"/>
    <x v="0"/>
    <x v="77"/>
    <x v="0"/>
    <x v="0"/>
  </r>
  <r>
    <x v="282"/>
    <x v="282"/>
    <x v="0"/>
    <x v="5"/>
    <x v="3"/>
    <x v="6"/>
    <x v="1"/>
    <x v="0"/>
    <x v="266"/>
    <x v="0"/>
    <x v="0"/>
    <x v="170"/>
    <x v="3"/>
    <x v="0"/>
  </r>
  <r>
    <x v="283"/>
    <x v="283"/>
    <x v="1"/>
    <x v="2"/>
    <x v="5"/>
    <x v="16"/>
    <x v="1"/>
    <x v="0"/>
    <x v="103"/>
    <x v="0"/>
    <x v="0"/>
    <x v="177"/>
    <x v="3"/>
    <x v="1"/>
  </r>
  <r>
    <x v="284"/>
    <x v="284"/>
    <x v="0"/>
    <x v="2"/>
    <x v="2"/>
    <x v="13"/>
    <x v="3"/>
    <x v="0"/>
    <x v="190"/>
    <x v="0"/>
    <x v="0"/>
    <x v="171"/>
    <x v="4"/>
    <x v="0"/>
  </r>
  <r>
    <x v="285"/>
    <x v="285"/>
    <x v="1"/>
    <x v="7"/>
    <x v="0"/>
    <x v="0"/>
    <x v="0"/>
    <x v="0"/>
    <x v="267"/>
    <x v="0"/>
    <x v="0"/>
    <x v="78"/>
    <x v="1"/>
    <x v="1"/>
  </r>
  <r>
    <x v="286"/>
    <x v="286"/>
    <x v="1"/>
    <x v="1"/>
    <x v="6"/>
    <x v="14"/>
    <x v="1"/>
    <x v="0"/>
    <x v="268"/>
    <x v="44"/>
    <x v="1"/>
    <x v="122"/>
    <x v="3"/>
    <x v="0"/>
  </r>
  <r>
    <x v="287"/>
    <x v="287"/>
    <x v="1"/>
    <x v="6"/>
    <x v="5"/>
    <x v="8"/>
    <x v="1"/>
    <x v="0"/>
    <x v="269"/>
    <x v="0"/>
    <x v="0"/>
    <x v="204"/>
    <x v="1"/>
    <x v="0"/>
  </r>
  <r>
    <x v="288"/>
    <x v="288"/>
    <x v="0"/>
    <x v="0"/>
    <x v="4"/>
    <x v="17"/>
    <x v="2"/>
    <x v="0"/>
    <x v="270"/>
    <x v="0"/>
    <x v="0"/>
    <x v="54"/>
    <x v="2"/>
    <x v="0"/>
  </r>
  <r>
    <x v="289"/>
    <x v="289"/>
    <x v="0"/>
    <x v="0"/>
    <x v="5"/>
    <x v="12"/>
    <x v="3"/>
    <x v="0"/>
    <x v="271"/>
    <x v="0"/>
    <x v="0"/>
    <x v="74"/>
    <x v="1"/>
    <x v="0"/>
  </r>
  <r>
    <x v="290"/>
    <x v="290"/>
    <x v="0"/>
    <x v="2"/>
    <x v="3"/>
    <x v="4"/>
    <x v="0"/>
    <x v="0"/>
    <x v="272"/>
    <x v="0"/>
    <x v="0"/>
    <x v="205"/>
    <x v="1"/>
    <x v="1"/>
  </r>
  <r>
    <x v="291"/>
    <x v="291"/>
    <x v="1"/>
    <x v="7"/>
    <x v="0"/>
    <x v="0"/>
    <x v="0"/>
    <x v="1"/>
    <x v="148"/>
    <x v="0"/>
    <x v="0"/>
    <x v="206"/>
    <x v="1"/>
    <x v="0"/>
  </r>
  <r>
    <x v="292"/>
    <x v="292"/>
    <x v="1"/>
    <x v="7"/>
    <x v="0"/>
    <x v="3"/>
    <x v="2"/>
    <x v="0"/>
    <x v="273"/>
    <x v="45"/>
    <x v="1"/>
    <x v="207"/>
    <x v="3"/>
    <x v="0"/>
  </r>
  <r>
    <x v="293"/>
    <x v="293"/>
    <x v="0"/>
    <x v="7"/>
    <x v="4"/>
    <x v="20"/>
    <x v="3"/>
    <x v="0"/>
    <x v="274"/>
    <x v="46"/>
    <x v="1"/>
    <x v="197"/>
    <x v="3"/>
    <x v="0"/>
  </r>
  <r>
    <x v="294"/>
    <x v="294"/>
    <x v="1"/>
    <x v="7"/>
    <x v="6"/>
    <x v="15"/>
    <x v="1"/>
    <x v="0"/>
    <x v="275"/>
    <x v="0"/>
    <x v="0"/>
    <x v="208"/>
    <x v="0"/>
    <x v="0"/>
  </r>
  <r>
    <x v="295"/>
    <x v="295"/>
    <x v="1"/>
    <x v="5"/>
    <x v="6"/>
    <x v="14"/>
    <x v="0"/>
    <x v="0"/>
    <x v="276"/>
    <x v="47"/>
    <x v="1"/>
    <x v="209"/>
    <x v="3"/>
    <x v="0"/>
  </r>
  <r>
    <x v="296"/>
    <x v="296"/>
    <x v="1"/>
    <x v="1"/>
    <x v="5"/>
    <x v="16"/>
    <x v="1"/>
    <x v="1"/>
    <x v="277"/>
    <x v="0"/>
    <x v="0"/>
    <x v="210"/>
    <x v="1"/>
    <x v="0"/>
  </r>
  <r>
    <x v="297"/>
    <x v="297"/>
    <x v="1"/>
    <x v="7"/>
    <x v="6"/>
    <x v="14"/>
    <x v="1"/>
    <x v="0"/>
    <x v="278"/>
    <x v="0"/>
    <x v="0"/>
    <x v="84"/>
    <x v="0"/>
    <x v="0"/>
  </r>
  <r>
    <x v="298"/>
    <x v="298"/>
    <x v="1"/>
    <x v="6"/>
    <x v="4"/>
    <x v="20"/>
    <x v="3"/>
    <x v="0"/>
    <x v="279"/>
    <x v="48"/>
    <x v="1"/>
    <x v="211"/>
    <x v="1"/>
    <x v="0"/>
  </r>
  <r>
    <x v="299"/>
    <x v="299"/>
    <x v="0"/>
    <x v="4"/>
    <x v="2"/>
    <x v="13"/>
    <x v="2"/>
    <x v="0"/>
    <x v="280"/>
    <x v="0"/>
    <x v="0"/>
    <x v="103"/>
    <x v="3"/>
    <x v="0"/>
  </r>
  <r>
    <x v="300"/>
    <x v="300"/>
    <x v="1"/>
    <x v="4"/>
    <x v="0"/>
    <x v="11"/>
    <x v="1"/>
    <x v="0"/>
    <x v="281"/>
    <x v="0"/>
    <x v="0"/>
    <x v="212"/>
    <x v="1"/>
    <x v="0"/>
  </r>
  <r>
    <x v="301"/>
    <x v="301"/>
    <x v="1"/>
    <x v="4"/>
    <x v="6"/>
    <x v="15"/>
    <x v="3"/>
    <x v="0"/>
    <x v="282"/>
    <x v="0"/>
    <x v="0"/>
    <x v="213"/>
    <x v="1"/>
    <x v="0"/>
  </r>
  <r>
    <x v="302"/>
    <x v="302"/>
    <x v="0"/>
    <x v="2"/>
    <x v="6"/>
    <x v="15"/>
    <x v="2"/>
    <x v="0"/>
    <x v="283"/>
    <x v="0"/>
    <x v="0"/>
    <x v="84"/>
    <x v="1"/>
    <x v="0"/>
  </r>
  <r>
    <x v="303"/>
    <x v="303"/>
    <x v="1"/>
    <x v="0"/>
    <x v="0"/>
    <x v="11"/>
    <x v="2"/>
    <x v="1"/>
    <x v="284"/>
    <x v="0"/>
    <x v="0"/>
    <x v="214"/>
    <x v="0"/>
    <x v="1"/>
  </r>
  <r>
    <x v="304"/>
    <x v="304"/>
    <x v="1"/>
    <x v="2"/>
    <x v="6"/>
    <x v="9"/>
    <x v="2"/>
    <x v="0"/>
    <x v="285"/>
    <x v="49"/>
    <x v="1"/>
    <x v="209"/>
    <x v="0"/>
    <x v="0"/>
  </r>
  <r>
    <x v="305"/>
    <x v="305"/>
    <x v="0"/>
    <x v="6"/>
    <x v="5"/>
    <x v="8"/>
    <x v="0"/>
    <x v="0"/>
    <x v="286"/>
    <x v="0"/>
    <x v="0"/>
    <x v="215"/>
    <x v="3"/>
    <x v="0"/>
  </r>
  <r>
    <x v="306"/>
    <x v="306"/>
    <x v="1"/>
    <x v="3"/>
    <x v="6"/>
    <x v="14"/>
    <x v="0"/>
    <x v="0"/>
    <x v="287"/>
    <x v="0"/>
    <x v="0"/>
    <x v="144"/>
    <x v="3"/>
    <x v="0"/>
  </r>
  <r>
    <x v="307"/>
    <x v="307"/>
    <x v="1"/>
    <x v="1"/>
    <x v="4"/>
    <x v="5"/>
    <x v="0"/>
    <x v="0"/>
    <x v="288"/>
    <x v="50"/>
    <x v="1"/>
    <x v="136"/>
    <x v="1"/>
    <x v="1"/>
  </r>
  <r>
    <x v="308"/>
    <x v="308"/>
    <x v="1"/>
    <x v="0"/>
    <x v="4"/>
    <x v="20"/>
    <x v="0"/>
    <x v="0"/>
    <x v="289"/>
    <x v="51"/>
    <x v="1"/>
    <x v="101"/>
    <x v="0"/>
    <x v="1"/>
  </r>
  <r>
    <x v="309"/>
    <x v="309"/>
    <x v="1"/>
    <x v="2"/>
    <x v="3"/>
    <x v="4"/>
    <x v="3"/>
    <x v="0"/>
    <x v="290"/>
    <x v="0"/>
    <x v="0"/>
    <x v="18"/>
    <x v="1"/>
    <x v="0"/>
  </r>
  <r>
    <x v="310"/>
    <x v="310"/>
    <x v="1"/>
    <x v="2"/>
    <x v="0"/>
    <x v="11"/>
    <x v="3"/>
    <x v="0"/>
    <x v="291"/>
    <x v="0"/>
    <x v="0"/>
    <x v="216"/>
    <x v="1"/>
    <x v="1"/>
  </r>
  <r>
    <x v="311"/>
    <x v="311"/>
    <x v="1"/>
    <x v="0"/>
    <x v="6"/>
    <x v="15"/>
    <x v="2"/>
    <x v="0"/>
    <x v="292"/>
    <x v="0"/>
    <x v="0"/>
    <x v="209"/>
    <x v="1"/>
    <x v="0"/>
  </r>
  <r>
    <x v="312"/>
    <x v="312"/>
    <x v="0"/>
    <x v="6"/>
    <x v="3"/>
    <x v="18"/>
    <x v="0"/>
    <x v="2"/>
    <x v="293"/>
    <x v="0"/>
    <x v="0"/>
    <x v="217"/>
    <x v="1"/>
    <x v="0"/>
  </r>
  <r>
    <x v="313"/>
    <x v="313"/>
    <x v="1"/>
    <x v="5"/>
    <x v="1"/>
    <x v="1"/>
    <x v="1"/>
    <x v="0"/>
    <x v="294"/>
    <x v="0"/>
    <x v="0"/>
    <x v="218"/>
    <x v="1"/>
    <x v="0"/>
  </r>
  <r>
    <x v="314"/>
    <x v="314"/>
    <x v="1"/>
    <x v="3"/>
    <x v="4"/>
    <x v="20"/>
    <x v="3"/>
    <x v="0"/>
    <x v="295"/>
    <x v="0"/>
    <x v="0"/>
    <x v="51"/>
    <x v="0"/>
    <x v="0"/>
  </r>
  <r>
    <x v="315"/>
    <x v="315"/>
    <x v="0"/>
    <x v="0"/>
    <x v="2"/>
    <x v="19"/>
    <x v="1"/>
    <x v="0"/>
    <x v="296"/>
    <x v="0"/>
    <x v="0"/>
    <x v="219"/>
    <x v="0"/>
    <x v="0"/>
  </r>
  <r>
    <x v="316"/>
    <x v="316"/>
    <x v="1"/>
    <x v="3"/>
    <x v="6"/>
    <x v="9"/>
    <x v="0"/>
    <x v="0"/>
    <x v="297"/>
    <x v="0"/>
    <x v="0"/>
    <x v="220"/>
    <x v="3"/>
    <x v="0"/>
  </r>
  <r>
    <x v="317"/>
    <x v="317"/>
    <x v="1"/>
    <x v="7"/>
    <x v="5"/>
    <x v="8"/>
    <x v="2"/>
    <x v="0"/>
    <x v="298"/>
    <x v="0"/>
    <x v="0"/>
    <x v="221"/>
    <x v="3"/>
    <x v="0"/>
  </r>
  <r>
    <x v="318"/>
    <x v="318"/>
    <x v="1"/>
    <x v="2"/>
    <x v="0"/>
    <x v="11"/>
    <x v="3"/>
    <x v="0"/>
    <x v="299"/>
    <x v="52"/>
    <x v="1"/>
    <x v="222"/>
    <x v="2"/>
    <x v="1"/>
  </r>
  <r>
    <x v="319"/>
    <x v="319"/>
    <x v="0"/>
    <x v="4"/>
    <x v="3"/>
    <x v="6"/>
    <x v="1"/>
    <x v="0"/>
    <x v="300"/>
    <x v="53"/>
    <x v="1"/>
    <x v="84"/>
    <x v="0"/>
    <x v="1"/>
  </r>
  <r>
    <x v="320"/>
    <x v="320"/>
    <x v="0"/>
    <x v="2"/>
    <x v="3"/>
    <x v="6"/>
    <x v="0"/>
    <x v="0"/>
    <x v="301"/>
    <x v="0"/>
    <x v="0"/>
    <x v="223"/>
    <x v="3"/>
    <x v="1"/>
  </r>
  <r>
    <x v="321"/>
    <x v="321"/>
    <x v="1"/>
    <x v="5"/>
    <x v="0"/>
    <x v="0"/>
    <x v="0"/>
    <x v="1"/>
    <x v="302"/>
    <x v="0"/>
    <x v="0"/>
    <x v="224"/>
    <x v="1"/>
    <x v="0"/>
  </r>
  <r>
    <x v="322"/>
    <x v="322"/>
    <x v="0"/>
    <x v="5"/>
    <x v="5"/>
    <x v="12"/>
    <x v="2"/>
    <x v="0"/>
    <x v="303"/>
    <x v="0"/>
    <x v="0"/>
    <x v="225"/>
    <x v="1"/>
    <x v="0"/>
  </r>
  <r>
    <x v="323"/>
    <x v="323"/>
    <x v="1"/>
    <x v="1"/>
    <x v="4"/>
    <x v="17"/>
    <x v="3"/>
    <x v="0"/>
    <x v="304"/>
    <x v="0"/>
    <x v="0"/>
    <x v="226"/>
    <x v="1"/>
    <x v="0"/>
  </r>
  <r>
    <x v="324"/>
    <x v="324"/>
    <x v="1"/>
    <x v="6"/>
    <x v="0"/>
    <x v="0"/>
    <x v="0"/>
    <x v="0"/>
    <x v="305"/>
    <x v="0"/>
    <x v="0"/>
    <x v="17"/>
    <x v="0"/>
    <x v="0"/>
  </r>
  <r>
    <x v="325"/>
    <x v="325"/>
    <x v="1"/>
    <x v="6"/>
    <x v="0"/>
    <x v="11"/>
    <x v="1"/>
    <x v="0"/>
    <x v="306"/>
    <x v="0"/>
    <x v="0"/>
    <x v="227"/>
    <x v="0"/>
    <x v="0"/>
  </r>
  <r>
    <x v="326"/>
    <x v="326"/>
    <x v="0"/>
    <x v="6"/>
    <x v="6"/>
    <x v="9"/>
    <x v="0"/>
    <x v="0"/>
    <x v="307"/>
    <x v="0"/>
    <x v="0"/>
    <x v="44"/>
    <x v="3"/>
    <x v="0"/>
  </r>
  <r>
    <x v="327"/>
    <x v="327"/>
    <x v="1"/>
    <x v="6"/>
    <x v="1"/>
    <x v="7"/>
    <x v="0"/>
    <x v="1"/>
    <x v="308"/>
    <x v="0"/>
    <x v="0"/>
    <x v="228"/>
    <x v="1"/>
    <x v="0"/>
  </r>
  <r>
    <x v="328"/>
    <x v="328"/>
    <x v="1"/>
    <x v="6"/>
    <x v="3"/>
    <x v="4"/>
    <x v="3"/>
    <x v="0"/>
    <x v="309"/>
    <x v="0"/>
    <x v="0"/>
    <x v="49"/>
    <x v="4"/>
    <x v="0"/>
  </r>
  <r>
    <x v="329"/>
    <x v="329"/>
    <x v="0"/>
    <x v="2"/>
    <x v="2"/>
    <x v="2"/>
    <x v="2"/>
    <x v="0"/>
    <x v="310"/>
    <x v="54"/>
    <x v="1"/>
    <x v="229"/>
    <x v="0"/>
    <x v="0"/>
  </r>
  <r>
    <x v="330"/>
    <x v="330"/>
    <x v="1"/>
    <x v="7"/>
    <x v="5"/>
    <x v="12"/>
    <x v="2"/>
    <x v="0"/>
    <x v="311"/>
    <x v="55"/>
    <x v="1"/>
    <x v="1"/>
    <x v="1"/>
    <x v="0"/>
  </r>
  <r>
    <x v="331"/>
    <x v="331"/>
    <x v="1"/>
    <x v="0"/>
    <x v="5"/>
    <x v="12"/>
    <x v="0"/>
    <x v="0"/>
    <x v="312"/>
    <x v="0"/>
    <x v="0"/>
    <x v="182"/>
    <x v="0"/>
    <x v="0"/>
  </r>
  <r>
    <x v="332"/>
    <x v="332"/>
    <x v="0"/>
    <x v="2"/>
    <x v="3"/>
    <x v="6"/>
    <x v="1"/>
    <x v="0"/>
    <x v="313"/>
    <x v="0"/>
    <x v="0"/>
    <x v="113"/>
    <x v="1"/>
    <x v="1"/>
  </r>
  <r>
    <x v="333"/>
    <x v="333"/>
    <x v="1"/>
    <x v="3"/>
    <x v="6"/>
    <x v="9"/>
    <x v="0"/>
    <x v="0"/>
    <x v="314"/>
    <x v="0"/>
    <x v="0"/>
    <x v="26"/>
    <x v="1"/>
    <x v="0"/>
  </r>
  <r>
    <x v="334"/>
    <x v="334"/>
    <x v="1"/>
    <x v="4"/>
    <x v="3"/>
    <x v="4"/>
    <x v="2"/>
    <x v="0"/>
    <x v="315"/>
    <x v="0"/>
    <x v="0"/>
    <x v="226"/>
    <x v="0"/>
    <x v="0"/>
  </r>
  <r>
    <x v="335"/>
    <x v="335"/>
    <x v="1"/>
    <x v="0"/>
    <x v="5"/>
    <x v="16"/>
    <x v="0"/>
    <x v="0"/>
    <x v="316"/>
    <x v="0"/>
    <x v="0"/>
    <x v="56"/>
    <x v="3"/>
    <x v="0"/>
  </r>
  <r>
    <x v="336"/>
    <x v="336"/>
    <x v="0"/>
    <x v="6"/>
    <x v="3"/>
    <x v="4"/>
    <x v="2"/>
    <x v="0"/>
    <x v="317"/>
    <x v="0"/>
    <x v="0"/>
    <x v="230"/>
    <x v="1"/>
    <x v="0"/>
  </r>
  <r>
    <x v="337"/>
    <x v="337"/>
    <x v="1"/>
    <x v="5"/>
    <x v="3"/>
    <x v="6"/>
    <x v="1"/>
    <x v="0"/>
    <x v="318"/>
    <x v="56"/>
    <x v="1"/>
    <x v="50"/>
    <x v="1"/>
    <x v="0"/>
  </r>
  <r>
    <x v="338"/>
    <x v="338"/>
    <x v="0"/>
    <x v="0"/>
    <x v="5"/>
    <x v="8"/>
    <x v="2"/>
    <x v="1"/>
    <x v="319"/>
    <x v="57"/>
    <x v="1"/>
    <x v="136"/>
    <x v="1"/>
    <x v="1"/>
  </r>
  <r>
    <x v="339"/>
    <x v="339"/>
    <x v="0"/>
    <x v="3"/>
    <x v="2"/>
    <x v="2"/>
    <x v="2"/>
    <x v="0"/>
    <x v="320"/>
    <x v="0"/>
    <x v="0"/>
    <x v="231"/>
    <x v="0"/>
    <x v="0"/>
  </r>
  <r>
    <x v="340"/>
    <x v="340"/>
    <x v="1"/>
    <x v="4"/>
    <x v="0"/>
    <x v="3"/>
    <x v="2"/>
    <x v="0"/>
    <x v="321"/>
    <x v="0"/>
    <x v="0"/>
    <x v="232"/>
    <x v="0"/>
    <x v="1"/>
  </r>
  <r>
    <x v="341"/>
    <x v="341"/>
    <x v="1"/>
    <x v="4"/>
    <x v="2"/>
    <x v="13"/>
    <x v="1"/>
    <x v="0"/>
    <x v="322"/>
    <x v="0"/>
    <x v="0"/>
    <x v="61"/>
    <x v="2"/>
    <x v="0"/>
  </r>
  <r>
    <x v="342"/>
    <x v="342"/>
    <x v="1"/>
    <x v="0"/>
    <x v="0"/>
    <x v="0"/>
    <x v="3"/>
    <x v="0"/>
    <x v="323"/>
    <x v="0"/>
    <x v="0"/>
    <x v="233"/>
    <x v="3"/>
    <x v="1"/>
  </r>
  <r>
    <x v="343"/>
    <x v="343"/>
    <x v="1"/>
    <x v="7"/>
    <x v="5"/>
    <x v="12"/>
    <x v="2"/>
    <x v="0"/>
    <x v="213"/>
    <x v="0"/>
    <x v="0"/>
    <x v="226"/>
    <x v="0"/>
    <x v="0"/>
  </r>
  <r>
    <x v="344"/>
    <x v="344"/>
    <x v="0"/>
    <x v="6"/>
    <x v="2"/>
    <x v="13"/>
    <x v="1"/>
    <x v="0"/>
    <x v="324"/>
    <x v="0"/>
    <x v="0"/>
    <x v="234"/>
    <x v="1"/>
    <x v="0"/>
  </r>
  <r>
    <x v="345"/>
    <x v="345"/>
    <x v="1"/>
    <x v="5"/>
    <x v="3"/>
    <x v="4"/>
    <x v="0"/>
    <x v="0"/>
    <x v="325"/>
    <x v="0"/>
    <x v="0"/>
    <x v="28"/>
    <x v="4"/>
    <x v="0"/>
  </r>
  <r>
    <x v="346"/>
    <x v="346"/>
    <x v="0"/>
    <x v="6"/>
    <x v="3"/>
    <x v="6"/>
    <x v="3"/>
    <x v="0"/>
    <x v="326"/>
    <x v="0"/>
    <x v="0"/>
    <x v="104"/>
    <x v="0"/>
    <x v="0"/>
  </r>
  <r>
    <x v="347"/>
    <x v="347"/>
    <x v="1"/>
    <x v="1"/>
    <x v="0"/>
    <x v="0"/>
    <x v="0"/>
    <x v="0"/>
    <x v="158"/>
    <x v="58"/>
    <x v="1"/>
    <x v="235"/>
    <x v="4"/>
    <x v="0"/>
  </r>
  <r>
    <x v="348"/>
    <x v="348"/>
    <x v="0"/>
    <x v="2"/>
    <x v="1"/>
    <x v="7"/>
    <x v="3"/>
    <x v="0"/>
    <x v="327"/>
    <x v="0"/>
    <x v="0"/>
    <x v="236"/>
    <x v="0"/>
    <x v="0"/>
  </r>
  <r>
    <x v="349"/>
    <x v="349"/>
    <x v="1"/>
    <x v="5"/>
    <x v="6"/>
    <x v="15"/>
    <x v="0"/>
    <x v="0"/>
    <x v="328"/>
    <x v="0"/>
    <x v="0"/>
    <x v="81"/>
    <x v="2"/>
    <x v="1"/>
  </r>
  <r>
    <x v="350"/>
    <x v="350"/>
    <x v="1"/>
    <x v="5"/>
    <x v="5"/>
    <x v="8"/>
    <x v="1"/>
    <x v="0"/>
    <x v="12"/>
    <x v="0"/>
    <x v="0"/>
    <x v="237"/>
    <x v="0"/>
    <x v="1"/>
  </r>
  <r>
    <x v="351"/>
    <x v="351"/>
    <x v="0"/>
    <x v="0"/>
    <x v="5"/>
    <x v="12"/>
    <x v="0"/>
    <x v="0"/>
    <x v="329"/>
    <x v="59"/>
    <x v="1"/>
    <x v="238"/>
    <x v="1"/>
    <x v="0"/>
  </r>
  <r>
    <x v="352"/>
    <x v="352"/>
    <x v="1"/>
    <x v="1"/>
    <x v="6"/>
    <x v="9"/>
    <x v="0"/>
    <x v="0"/>
    <x v="330"/>
    <x v="60"/>
    <x v="1"/>
    <x v="71"/>
    <x v="1"/>
    <x v="0"/>
  </r>
  <r>
    <x v="353"/>
    <x v="353"/>
    <x v="0"/>
    <x v="7"/>
    <x v="3"/>
    <x v="4"/>
    <x v="2"/>
    <x v="1"/>
    <x v="331"/>
    <x v="0"/>
    <x v="0"/>
    <x v="231"/>
    <x v="1"/>
    <x v="0"/>
  </r>
  <r>
    <x v="354"/>
    <x v="354"/>
    <x v="0"/>
    <x v="5"/>
    <x v="3"/>
    <x v="6"/>
    <x v="0"/>
    <x v="0"/>
    <x v="332"/>
    <x v="0"/>
    <x v="0"/>
    <x v="6"/>
    <x v="1"/>
    <x v="0"/>
  </r>
  <r>
    <x v="355"/>
    <x v="355"/>
    <x v="1"/>
    <x v="7"/>
    <x v="6"/>
    <x v="15"/>
    <x v="1"/>
    <x v="0"/>
    <x v="333"/>
    <x v="61"/>
    <x v="1"/>
    <x v="22"/>
    <x v="0"/>
    <x v="0"/>
  </r>
  <r>
    <x v="356"/>
    <x v="356"/>
    <x v="0"/>
    <x v="4"/>
    <x v="1"/>
    <x v="1"/>
    <x v="3"/>
    <x v="0"/>
    <x v="334"/>
    <x v="0"/>
    <x v="0"/>
    <x v="239"/>
    <x v="4"/>
    <x v="0"/>
  </r>
  <r>
    <x v="357"/>
    <x v="357"/>
    <x v="1"/>
    <x v="7"/>
    <x v="5"/>
    <x v="12"/>
    <x v="3"/>
    <x v="0"/>
    <x v="335"/>
    <x v="0"/>
    <x v="0"/>
    <x v="240"/>
    <x v="4"/>
    <x v="0"/>
  </r>
  <r>
    <x v="358"/>
    <x v="358"/>
    <x v="0"/>
    <x v="4"/>
    <x v="2"/>
    <x v="2"/>
    <x v="0"/>
    <x v="0"/>
    <x v="336"/>
    <x v="62"/>
    <x v="1"/>
    <x v="241"/>
    <x v="1"/>
    <x v="1"/>
  </r>
  <r>
    <x v="359"/>
    <x v="359"/>
    <x v="1"/>
    <x v="4"/>
    <x v="2"/>
    <x v="13"/>
    <x v="3"/>
    <x v="0"/>
    <x v="337"/>
    <x v="0"/>
    <x v="0"/>
    <x v="242"/>
    <x v="1"/>
    <x v="0"/>
  </r>
  <r>
    <x v="360"/>
    <x v="360"/>
    <x v="0"/>
    <x v="0"/>
    <x v="0"/>
    <x v="0"/>
    <x v="1"/>
    <x v="0"/>
    <x v="338"/>
    <x v="0"/>
    <x v="0"/>
    <x v="3"/>
    <x v="3"/>
    <x v="0"/>
  </r>
  <r>
    <x v="361"/>
    <x v="361"/>
    <x v="1"/>
    <x v="3"/>
    <x v="0"/>
    <x v="3"/>
    <x v="1"/>
    <x v="0"/>
    <x v="339"/>
    <x v="0"/>
    <x v="0"/>
    <x v="169"/>
    <x v="1"/>
    <x v="0"/>
  </r>
  <r>
    <x v="362"/>
    <x v="362"/>
    <x v="0"/>
    <x v="7"/>
    <x v="5"/>
    <x v="12"/>
    <x v="0"/>
    <x v="0"/>
    <x v="340"/>
    <x v="0"/>
    <x v="0"/>
    <x v="241"/>
    <x v="1"/>
    <x v="0"/>
  </r>
  <r>
    <x v="363"/>
    <x v="363"/>
    <x v="1"/>
    <x v="1"/>
    <x v="5"/>
    <x v="8"/>
    <x v="2"/>
    <x v="0"/>
    <x v="341"/>
    <x v="0"/>
    <x v="0"/>
    <x v="243"/>
    <x v="3"/>
    <x v="0"/>
  </r>
  <r>
    <x v="364"/>
    <x v="364"/>
    <x v="1"/>
    <x v="7"/>
    <x v="5"/>
    <x v="8"/>
    <x v="2"/>
    <x v="0"/>
    <x v="342"/>
    <x v="0"/>
    <x v="0"/>
    <x v="244"/>
    <x v="3"/>
    <x v="0"/>
  </r>
  <r>
    <x v="365"/>
    <x v="365"/>
    <x v="1"/>
    <x v="3"/>
    <x v="6"/>
    <x v="15"/>
    <x v="1"/>
    <x v="0"/>
    <x v="343"/>
    <x v="0"/>
    <x v="0"/>
    <x v="140"/>
    <x v="1"/>
    <x v="0"/>
  </r>
  <r>
    <x v="366"/>
    <x v="366"/>
    <x v="1"/>
    <x v="0"/>
    <x v="6"/>
    <x v="14"/>
    <x v="0"/>
    <x v="0"/>
    <x v="344"/>
    <x v="0"/>
    <x v="0"/>
    <x v="245"/>
    <x v="0"/>
    <x v="0"/>
  </r>
  <r>
    <x v="367"/>
    <x v="367"/>
    <x v="0"/>
    <x v="6"/>
    <x v="1"/>
    <x v="1"/>
    <x v="1"/>
    <x v="0"/>
    <x v="345"/>
    <x v="0"/>
    <x v="0"/>
    <x v="246"/>
    <x v="0"/>
    <x v="0"/>
  </r>
  <r>
    <x v="368"/>
    <x v="368"/>
    <x v="0"/>
    <x v="4"/>
    <x v="1"/>
    <x v="1"/>
    <x v="3"/>
    <x v="1"/>
    <x v="346"/>
    <x v="0"/>
    <x v="0"/>
    <x v="186"/>
    <x v="4"/>
    <x v="0"/>
  </r>
  <r>
    <x v="369"/>
    <x v="369"/>
    <x v="1"/>
    <x v="7"/>
    <x v="3"/>
    <x v="4"/>
    <x v="0"/>
    <x v="1"/>
    <x v="347"/>
    <x v="0"/>
    <x v="0"/>
    <x v="71"/>
    <x v="1"/>
    <x v="0"/>
  </r>
  <r>
    <x v="370"/>
    <x v="370"/>
    <x v="1"/>
    <x v="4"/>
    <x v="6"/>
    <x v="14"/>
    <x v="2"/>
    <x v="0"/>
    <x v="348"/>
    <x v="0"/>
    <x v="0"/>
    <x v="60"/>
    <x v="0"/>
    <x v="0"/>
  </r>
  <r>
    <x v="371"/>
    <x v="371"/>
    <x v="0"/>
    <x v="4"/>
    <x v="5"/>
    <x v="16"/>
    <x v="2"/>
    <x v="0"/>
    <x v="349"/>
    <x v="0"/>
    <x v="0"/>
    <x v="27"/>
    <x v="1"/>
    <x v="0"/>
  </r>
  <r>
    <x v="372"/>
    <x v="372"/>
    <x v="0"/>
    <x v="3"/>
    <x v="3"/>
    <x v="18"/>
    <x v="2"/>
    <x v="0"/>
    <x v="350"/>
    <x v="0"/>
    <x v="0"/>
    <x v="104"/>
    <x v="1"/>
    <x v="0"/>
  </r>
  <r>
    <x v="373"/>
    <x v="373"/>
    <x v="1"/>
    <x v="1"/>
    <x v="0"/>
    <x v="3"/>
    <x v="1"/>
    <x v="2"/>
    <x v="351"/>
    <x v="0"/>
    <x v="0"/>
    <x v="247"/>
    <x v="4"/>
    <x v="0"/>
  </r>
  <r>
    <x v="374"/>
    <x v="374"/>
    <x v="1"/>
    <x v="1"/>
    <x v="4"/>
    <x v="20"/>
    <x v="0"/>
    <x v="0"/>
    <x v="352"/>
    <x v="0"/>
    <x v="0"/>
    <x v="248"/>
    <x v="1"/>
    <x v="0"/>
  </r>
  <r>
    <x v="375"/>
    <x v="375"/>
    <x v="1"/>
    <x v="5"/>
    <x v="4"/>
    <x v="20"/>
    <x v="2"/>
    <x v="0"/>
    <x v="8"/>
    <x v="0"/>
    <x v="0"/>
    <x v="103"/>
    <x v="0"/>
    <x v="0"/>
  </r>
  <r>
    <x v="376"/>
    <x v="376"/>
    <x v="0"/>
    <x v="6"/>
    <x v="2"/>
    <x v="13"/>
    <x v="0"/>
    <x v="0"/>
    <x v="353"/>
    <x v="0"/>
    <x v="0"/>
    <x v="171"/>
    <x v="2"/>
    <x v="1"/>
  </r>
  <r>
    <x v="377"/>
    <x v="377"/>
    <x v="0"/>
    <x v="0"/>
    <x v="5"/>
    <x v="8"/>
    <x v="0"/>
    <x v="1"/>
    <x v="354"/>
    <x v="0"/>
    <x v="0"/>
    <x v="249"/>
    <x v="1"/>
    <x v="0"/>
  </r>
  <r>
    <x v="378"/>
    <x v="378"/>
    <x v="1"/>
    <x v="7"/>
    <x v="1"/>
    <x v="7"/>
    <x v="3"/>
    <x v="0"/>
    <x v="355"/>
    <x v="63"/>
    <x v="1"/>
    <x v="119"/>
    <x v="0"/>
    <x v="0"/>
  </r>
  <r>
    <x v="379"/>
    <x v="379"/>
    <x v="1"/>
    <x v="0"/>
    <x v="0"/>
    <x v="0"/>
    <x v="1"/>
    <x v="0"/>
    <x v="356"/>
    <x v="64"/>
    <x v="1"/>
    <x v="114"/>
    <x v="3"/>
    <x v="1"/>
  </r>
  <r>
    <x v="380"/>
    <x v="380"/>
    <x v="0"/>
    <x v="1"/>
    <x v="0"/>
    <x v="0"/>
    <x v="2"/>
    <x v="0"/>
    <x v="357"/>
    <x v="0"/>
    <x v="0"/>
    <x v="30"/>
    <x v="1"/>
    <x v="0"/>
  </r>
  <r>
    <x v="381"/>
    <x v="381"/>
    <x v="1"/>
    <x v="0"/>
    <x v="6"/>
    <x v="14"/>
    <x v="2"/>
    <x v="0"/>
    <x v="358"/>
    <x v="65"/>
    <x v="1"/>
    <x v="201"/>
    <x v="2"/>
    <x v="0"/>
  </r>
  <r>
    <x v="382"/>
    <x v="382"/>
    <x v="0"/>
    <x v="2"/>
    <x v="0"/>
    <x v="3"/>
    <x v="3"/>
    <x v="0"/>
    <x v="359"/>
    <x v="0"/>
    <x v="0"/>
    <x v="250"/>
    <x v="0"/>
    <x v="0"/>
  </r>
  <r>
    <x v="383"/>
    <x v="383"/>
    <x v="1"/>
    <x v="4"/>
    <x v="6"/>
    <x v="9"/>
    <x v="0"/>
    <x v="1"/>
    <x v="13"/>
    <x v="0"/>
    <x v="0"/>
    <x v="126"/>
    <x v="2"/>
    <x v="0"/>
  </r>
  <r>
    <x v="384"/>
    <x v="384"/>
    <x v="0"/>
    <x v="6"/>
    <x v="4"/>
    <x v="20"/>
    <x v="2"/>
    <x v="0"/>
    <x v="360"/>
    <x v="0"/>
    <x v="0"/>
    <x v="206"/>
    <x v="0"/>
    <x v="0"/>
  </r>
  <r>
    <x v="385"/>
    <x v="385"/>
    <x v="0"/>
    <x v="6"/>
    <x v="1"/>
    <x v="1"/>
    <x v="2"/>
    <x v="0"/>
    <x v="361"/>
    <x v="0"/>
    <x v="0"/>
    <x v="251"/>
    <x v="3"/>
    <x v="1"/>
  </r>
  <r>
    <x v="386"/>
    <x v="386"/>
    <x v="0"/>
    <x v="3"/>
    <x v="5"/>
    <x v="12"/>
    <x v="2"/>
    <x v="0"/>
    <x v="362"/>
    <x v="0"/>
    <x v="0"/>
    <x v="135"/>
    <x v="0"/>
    <x v="1"/>
  </r>
  <r>
    <x v="387"/>
    <x v="387"/>
    <x v="0"/>
    <x v="6"/>
    <x v="5"/>
    <x v="12"/>
    <x v="0"/>
    <x v="0"/>
    <x v="267"/>
    <x v="0"/>
    <x v="0"/>
    <x v="20"/>
    <x v="3"/>
    <x v="0"/>
  </r>
  <r>
    <x v="388"/>
    <x v="388"/>
    <x v="0"/>
    <x v="7"/>
    <x v="2"/>
    <x v="19"/>
    <x v="0"/>
    <x v="0"/>
    <x v="26"/>
    <x v="0"/>
    <x v="0"/>
    <x v="252"/>
    <x v="1"/>
    <x v="0"/>
  </r>
  <r>
    <x v="389"/>
    <x v="389"/>
    <x v="1"/>
    <x v="1"/>
    <x v="5"/>
    <x v="16"/>
    <x v="3"/>
    <x v="0"/>
    <x v="146"/>
    <x v="0"/>
    <x v="0"/>
    <x v="253"/>
    <x v="0"/>
    <x v="0"/>
  </r>
  <r>
    <x v="390"/>
    <x v="390"/>
    <x v="0"/>
    <x v="7"/>
    <x v="5"/>
    <x v="16"/>
    <x v="1"/>
    <x v="1"/>
    <x v="363"/>
    <x v="66"/>
    <x v="1"/>
    <x v="65"/>
    <x v="0"/>
    <x v="0"/>
  </r>
  <r>
    <x v="391"/>
    <x v="391"/>
    <x v="0"/>
    <x v="5"/>
    <x v="2"/>
    <x v="2"/>
    <x v="0"/>
    <x v="0"/>
    <x v="364"/>
    <x v="0"/>
    <x v="0"/>
    <x v="254"/>
    <x v="2"/>
    <x v="1"/>
  </r>
  <r>
    <x v="392"/>
    <x v="392"/>
    <x v="1"/>
    <x v="2"/>
    <x v="2"/>
    <x v="19"/>
    <x v="3"/>
    <x v="0"/>
    <x v="365"/>
    <x v="67"/>
    <x v="1"/>
    <x v="255"/>
    <x v="1"/>
    <x v="1"/>
  </r>
  <r>
    <x v="393"/>
    <x v="393"/>
    <x v="1"/>
    <x v="1"/>
    <x v="6"/>
    <x v="15"/>
    <x v="0"/>
    <x v="0"/>
    <x v="366"/>
    <x v="0"/>
    <x v="0"/>
    <x v="256"/>
    <x v="3"/>
    <x v="0"/>
  </r>
  <r>
    <x v="394"/>
    <x v="394"/>
    <x v="0"/>
    <x v="6"/>
    <x v="6"/>
    <x v="14"/>
    <x v="3"/>
    <x v="0"/>
    <x v="367"/>
    <x v="0"/>
    <x v="0"/>
    <x v="257"/>
    <x v="3"/>
    <x v="0"/>
  </r>
  <r>
    <x v="395"/>
    <x v="395"/>
    <x v="0"/>
    <x v="7"/>
    <x v="3"/>
    <x v="6"/>
    <x v="3"/>
    <x v="1"/>
    <x v="368"/>
    <x v="0"/>
    <x v="0"/>
    <x v="72"/>
    <x v="3"/>
    <x v="0"/>
  </r>
  <r>
    <x v="396"/>
    <x v="396"/>
    <x v="1"/>
    <x v="7"/>
    <x v="5"/>
    <x v="12"/>
    <x v="3"/>
    <x v="0"/>
    <x v="369"/>
    <x v="0"/>
    <x v="0"/>
    <x v="71"/>
    <x v="3"/>
    <x v="0"/>
  </r>
  <r>
    <x v="397"/>
    <x v="397"/>
    <x v="0"/>
    <x v="2"/>
    <x v="1"/>
    <x v="7"/>
    <x v="2"/>
    <x v="0"/>
    <x v="370"/>
    <x v="0"/>
    <x v="0"/>
    <x v="237"/>
    <x v="4"/>
    <x v="0"/>
  </r>
  <r>
    <x v="398"/>
    <x v="398"/>
    <x v="1"/>
    <x v="0"/>
    <x v="5"/>
    <x v="12"/>
    <x v="1"/>
    <x v="2"/>
    <x v="165"/>
    <x v="68"/>
    <x v="1"/>
    <x v="258"/>
    <x v="1"/>
    <x v="0"/>
  </r>
  <r>
    <x v="399"/>
    <x v="399"/>
    <x v="0"/>
    <x v="7"/>
    <x v="0"/>
    <x v="3"/>
    <x v="2"/>
    <x v="0"/>
    <x v="371"/>
    <x v="0"/>
    <x v="0"/>
    <x v="147"/>
    <x v="1"/>
    <x v="0"/>
  </r>
  <r>
    <x v="400"/>
    <x v="400"/>
    <x v="0"/>
    <x v="2"/>
    <x v="3"/>
    <x v="4"/>
    <x v="0"/>
    <x v="0"/>
    <x v="372"/>
    <x v="0"/>
    <x v="0"/>
    <x v="93"/>
    <x v="3"/>
    <x v="1"/>
  </r>
  <r>
    <x v="401"/>
    <x v="401"/>
    <x v="1"/>
    <x v="1"/>
    <x v="1"/>
    <x v="1"/>
    <x v="1"/>
    <x v="0"/>
    <x v="276"/>
    <x v="69"/>
    <x v="1"/>
    <x v="108"/>
    <x v="0"/>
    <x v="0"/>
  </r>
  <r>
    <x v="402"/>
    <x v="402"/>
    <x v="1"/>
    <x v="3"/>
    <x v="3"/>
    <x v="18"/>
    <x v="3"/>
    <x v="0"/>
    <x v="373"/>
    <x v="0"/>
    <x v="0"/>
    <x v="83"/>
    <x v="0"/>
    <x v="0"/>
  </r>
  <r>
    <x v="403"/>
    <x v="403"/>
    <x v="0"/>
    <x v="4"/>
    <x v="5"/>
    <x v="16"/>
    <x v="2"/>
    <x v="0"/>
    <x v="374"/>
    <x v="0"/>
    <x v="0"/>
    <x v="259"/>
    <x v="4"/>
    <x v="0"/>
  </r>
  <r>
    <x v="404"/>
    <x v="404"/>
    <x v="0"/>
    <x v="7"/>
    <x v="3"/>
    <x v="4"/>
    <x v="0"/>
    <x v="0"/>
    <x v="375"/>
    <x v="0"/>
    <x v="0"/>
    <x v="248"/>
    <x v="0"/>
    <x v="0"/>
  </r>
  <r>
    <x v="405"/>
    <x v="405"/>
    <x v="0"/>
    <x v="1"/>
    <x v="6"/>
    <x v="15"/>
    <x v="0"/>
    <x v="0"/>
    <x v="376"/>
    <x v="0"/>
    <x v="0"/>
    <x v="260"/>
    <x v="2"/>
    <x v="0"/>
  </r>
  <r>
    <x v="406"/>
    <x v="406"/>
    <x v="0"/>
    <x v="7"/>
    <x v="6"/>
    <x v="14"/>
    <x v="2"/>
    <x v="0"/>
    <x v="377"/>
    <x v="70"/>
    <x v="1"/>
    <x v="28"/>
    <x v="1"/>
    <x v="1"/>
  </r>
  <r>
    <x v="407"/>
    <x v="407"/>
    <x v="0"/>
    <x v="7"/>
    <x v="6"/>
    <x v="14"/>
    <x v="2"/>
    <x v="0"/>
    <x v="378"/>
    <x v="0"/>
    <x v="0"/>
    <x v="127"/>
    <x v="3"/>
    <x v="1"/>
  </r>
  <r>
    <x v="408"/>
    <x v="408"/>
    <x v="0"/>
    <x v="3"/>
    <x v="6"/>
    <x v="15"/>
    <x v="0"/>
    <x v="0"/>
    <x v="379"/>
    <x v="0"/>
    <x v="0"/>
    <x v="261"/>
    <x v="0"/>
    <x v="0"/>
  </r>
  <r>
    <x v="409"/>
    <x v="409"/>
    <x v="0"/>
    <x v="2"/>
    <x v="1"/>
    <x v="7"/>
    <x v="2"/>
    <x v="0"/>
    <x v="380"/>
    <x v="0"/>
    <x v="0"/>
    <x v="54"/>
    <x v="1"/>
    <x v="0"/>
  </r>
  <r>
    <x v="410"/>
    <x v="410"/>
    <x v="0"/>
    <x v="3"/>
    <x v="0"/>
    <x v="3"/>
    <x v="1"/>
    <x v="2"/>
    <x v="381"/>
    <x v="71"/>
    <x v="1"/>
    <x v="62"/>
    <x v="0"/>
    <x v="0"/>
  </r>
  <r>
    <x v="411"/>
    <x v="411"/>
    <x v="0"/>
    <x v="4"/>
    <x v="6"/>
    <x v="14"/>
    <x v="3"/>
    <x v="0"/>
    <x v="382"/>
    <x v="0"/>
    <x v="0"/>
    <x v="172"/>
    <x v="3"/>
    <x v="1"/>
  </r>
  <r>
    <x v="412"/>
    <x v="412"/>
    <x v="0"/>
    <x v="7"/>
    <x v="0"/>
    <x v="3"/>
    <x v="1"/>
    <x v="0"/>
    <x v="383"/>
    <x v="0"/>
    <x v="0"/>
    <x v="262"/>
    <x v="1"/>
    <x v="0"/>
  </r>
  <r>
    <x v="413"/>
    <x v="413"/>
    <x v="0"/>
    <x v="5"/>
    <x v="6"/>
    <x v="15"/>
    <x v="3"/>
    <x v="0"/>
    <x v="384"/>
    <x v="0"/>
    <x v="0"/>
    <x v="263"/>
    <x v="1"/>
    <x v="1"/>
  </r>
  <r>
    <x v="414"/>
    <x v="414"/>
    <x v="1"/>
    <x v="4"/>
    <x v="5"/>
    <x v="12"/>
    <x v="2"/>
    <x v="0"/>
    <x v="385"/>
    <x v="0"/>
    <x v="0"/>
    <x v="180"/>
    <x v="0"/>
    <x v="1"/>
  </r>
  <r>
    <x v="415"/>
    <x v="415"/>
    <x v="1"/>
    <x v="7"/>
    <x v="6"/>
    <x v="9"/>
    <x v="1"/>
    <x v="2"/>
    <x v="386"/>
    <x v="0"/>
    <x v="0"/>
    <x v="71"/>
    <x v="1"/>
    <x v="0"/>
  </r>
  <r>
    <x v="416"/>
    <x v="416"/>
    <x v="0"/>
    <x v="5"/>
    <x v="2"/>
    <x v="2"/>
    <x v="3"/>
    <x v="1"/>
    <x v="387"/>
    <x v="0"/>
    <x v="0"/>
    <x v="242"/>
    <x v="4"/>
    <x v="0"/>
  </r>
  <r>
    <x v="417"/>
    <x v="417"/>
    <x v="0"/>
    <x v="2"/>
    <x v="3"/>
    <x v="6"/>
    <x v="0"/>
    <x v="0"/>
    <x v="388"/>
    <x v="0"/>
    <x v="0"/>
    <x v="82"/>
    <x v="2"/>
    <x v="0"/>
  </r>
  <r>
    <x v="418"/>
    <x v="418"/>
    <x v="1"/>
    <x v="4"/>
    <x v="2"/>
    <x v="13"/>
    <x v="2"/>
    <x v="0"/>
    <x v="389"/>
    <x v="72"/>
    <x v="1"/>
    <x v="59"/>
    <x v="3"/>
    <x v="0"/>
  </r>
  <r>
    <x v="419"/>
    <x v="419"/>
    <x v="1"/>
    <x v="6"/>
    <x v="5"/>
    <x v="8"/>
    <x v="1"/>
    <x v="0"/>
    <x v="390"/>
    <x v="73"/>
    <x v="1"/>
    <x v="26"/>
    <x v="3"/>
    <x v="0"/>
  </r>
  <r>
    <x v="420"/>
    <x v="420"/>
    <x v="0"/>
    <x v="4"/>
    <x v="5"/>
    <x v="16"/>
    <x v="3"/>
    <x v="0"/>
    <x v="391"/>
    <x v="0"/>
    <x v="0"/>
    <x v="96"/>
    <x v="0"/>
    <x v="0"/>
  </r>
  <r>
    <x v="421"/>
    <x v="421"/>
    <x v="0"/>
    <x v="2"/>
    <x v="0"/>
    <x v="3"/>
    <x v="2"/>
    <x v="0"/>
    <x v="392"/>
    <x v="0"/>
    <x v="0"/>
    <x v="9"/>
    <x v="3"/>
    <x v="0"/>
  </r>
  <r>
    <x v="422"/>
    <x v="422"/>
    <x v="1"/>
    <x v="2"/>
    <x v="0"/>
    <x v="11"/>
    <x v="1"/>
    <x v="0"/>
    <x v="393"/>
    <x v="74"/>
    <x v="1"/>
    <x v="264"/>
    <x v="0"/>
    <x v="0"/>
  </r>
  <r>
    <x v="423"/>
    <x v="423"/>
    <x v="1"/>
    <x v="3"/>
    <x v="3"/>
    <x v="6"/>
    <x v="0"/>
    <x v="1"/>
    <x v="394"/>
    <x v="0"/>
    <x v="0"/>
    <x v="183"/>
    <x v="1"/>
    <x v="1"/>
  </r>
  <r>
    <x v="424"/>
    <x v="424"/>
    <x v="0"/>
    <x v="5"/>
    <x v="5"/>
    <x v="8"/>
    <x v="2"/>
    <x v="0"/>
    <x v="395"/>
    <x v="0"/>
    <x v="0"/>
    <x v="265"/>
    <x v="1"/>
    <x v="0"/>
  </r>
  <r>
    <x v="425"/>
    <x v="425"/>
    <x v="1"/>
    <x v="1"/>
    <x v="2"/>
    <x v="19"/>
    <x v="2"/>
    <x v="0"/>
    <x v="396"/>
    <x v="0"/>
    <x v="0"/>
    <x v="197"/>
    <x v="2"/>
    <x v="0"/>
  </r>
  <r>
    <x v="426"/>
    <x v="426"/>
    <x v="1"/>
    <x v="3"/>
    <x v="4"/>
    <x v="20"/>
    <x v="2"/>
    <x v="0"/>
    <x v="397"/>
    <x v="0"/>
    <x v="0"/>
    <x v="181"/>
    <x v="1"/>
    <x v="0"/>
  </r>
  <r>
    <x v="427"/>
    <x v="427"/>
    <x v="1"/>
    <x v="5"/>
    <x v="0"/>
    <x v="11"/>
    <x v="0"/>
    <x v="0"/>
    <x v="398"/>
    <x v="75"/>
    <x v="1"/>
    <x v="102"/>
    <x v="1"/>
    <x v="0"/>
  </r>
  <r>
    <x v="428"/>
    <x v="428"/>
    <x v="1"/>
    <x v="7"/>
    <x v="0"/>
    <x v="11"/>
    <x v="0"/>
    <x v="0"/>
    <x v="399"/>
    <x v="0"/>
    <x v="0"/>
    <x v="168"/>
    <x v="0"/>
    <x v="0"/>
  </r>
  <r>
    <x v="429"/>
    <x v="429"/>
    <x v="1"/>
    <x v="3"/>
    <x v="6"/>
    <x v="9"/>
    <x v="1"/>
    <x v="0"/>
    <x v="400"/>
    <x v="0"/>
    <x v="0"/>
    <x v="119"/>
    <x v="3"/>
    <x v="0"/>
  </r>
  <r>
    <x v="430"/>
    <x v="430"/>
    <x v="0"/>
    <x v="6"/>
    <x v="0"/>
    <x v="11"/>
    <x v="1"/>
    <x v="0"/>
    <x v="270"/>
    <x v="0"/>
    <x v="0"/>
    <x v="164"/>
    <x v="3"/>
    <x v="1"/>
  </r>
  <r>
    <x v="431"/>
    <x v="431"/>
    <x v="1"/>
    <x v="3"/>
    <x v="3"/>
    <x v="4"/>
    <x v="1"/>
    <x v="0"/>
    <x v="401"/>
    <x v="0"/>
    <x v="0"/>
    <x v="76"/>
    <x v="4"/>
    <x v="0"/>
  </r>
  <r>
    <x v="432"/>
    <x v="432"/>
    <x v="0"/>
    <x v="4"/>
    <x v="3"/>
    <x v="4"/>
    <x v="1"/>
    <x v="0"/>
    <x v="402"/>
    <x v="0"/>
    <x v="0"/>
    <x v="2"/>
    <x v="1"/>
    <x v="1"/>
  </r>
  <r>
    <x v="433"/>
    <x v="433"/>
    <x v="1"/>
    <x v="7"/>
    <x v="3"/>
    <x v="4"/>
    <x v="1"/>
    <x v="0"/>
    <x v="403"/>
    <x v="0"/>
    <x v="0"/>
    <x v="54"/>
    <x v="3"/>
    <x v="1"/>
  </r>
  <r>
    <x v="434"/>
    <x v="434"/>
    <x v="1"/>
    <x v="0"/>
    <x v="6"/>
    <x v="14"/>
    <x v="0"/>
    <x v="0"/>
    <x v="404"/>
    <x v="0"/>
    <x v="0"/>
    <x v="182"/>
    <x v="3"/>
    <x v="0"/>
  </r>
  <r>
    <x v="435"/>
    <x v="435"/>
    <x v="0"/>
    <x v="3"/>
    <x v="5"/>
    <x v="12"/>
    <x v="2"/>
    <x v="0"/>
    <x v="405"/>
    <x v="0"/>
    <x v="0"/>
    <x v="266"/>
    <x v="0"/>
    <x v="0"/>
  </r>
  <r>
    <x v="436"/>
    <x v="436"/>
    <x v="0"/>
    <x v="6"/>
    <x v="2"/>
    <x v="13"/>
    <x v="1"/>
    <x v="0"/>
    <x v="406"/>
    <x v="0"/>
    <x v="0"/>
    <x v="55"/>
    <x v="0"/>
    <x v="0"/>
  </r>
  <r>
    <x v="437"/>
    <x v="437"/>
    <x v="0"/>
    <x v="0"/>
    <x v="5"/>
    <x v="8"/>
    <x v="2"/>
    <x v="0"/>
    <x v="407"/>
    <x v="0"/>
    <x v="0"/>
    <x v="97"/>
    <x v="0"/>
    <x v="0"/>
  </r>
  <r>
    <x v="438"/>
    <x v="438"/>
    <x v="1"/>
    <x v="4"/>
    <x v="6"/>
    <x v="14"/>
    <x v="3"/>
    <x v="0"/>
    <x v="327"/>
    <x v="0"/>
    <x v="0"/>
    <x v="267"/>
    <x v="3"/>
    <x v="0"/>
  </r>
  <r>
    <x v="439"/>
    <x v="439"/>
    <x v="1"/>
    <x v="6"/>
    <x v="0"/>
    <x v="3"/>
    <x v="0"/>
    <x v="0"/>
    <x v="408"/>
    <x v="0"/>
    <x v="0"/>
    <x v="42"/>
    <x v="1"/>
    <x v="0"/>
  </r>
  <r>
    <x v="440"/>
    <x v="440"/>
    <x v="1"/>
    <x v="4"/>
    <x v="6"/>
    <x v="14"/>
    <x v="3"/>
    <x v="0"/>
    <x v="409"/>
    <x v="76"/>
    <x v="1"/>
    <x v="223"/>
    <x v="3"/>
    <x v="1"/>
  </r>
  <r>
    <x v="441"/>
    <x v="441"/>
    <x v="1"/>
    <x v="3"/>
    <x v="5"/>
    <x v="12"/>
    <x v="2"/>
    <x v="1"/>
    <x v="410"/>
    <x v="0"/>
    <x v="0"/>
    <x v="191"/>
    <x v="0"/>
    <x v="0"/>
  </r>
  <r>
    <x v="442"/>
    <x v="442"/>
    <x v="1"/>
    <x v="5"/>
    <x v="3"/>
    <x v="4"/>
    <x v="0"/>
    <x v="0"/>
    <x v="411"/>
    <x v="77"/>
    <x v="1"/>
    <x v="101"/>
    <x v="3"/>
    <x v="0"/>
  </r>
  <r>
    <x v="443"/>
    <x v="443"/>
    <x v="1"/>
    <x v="3"/>
    <x v="2"/>
    <x v="2"/>
    <x v="1"/>
    <x v="0"/>
    <x v="361"/>
    <x v="0"/>
    <x v="0"/>
    <x v="161"/>
    <x v="1"/>
    <x v="1"/>
  </r>
  <r>
    <x v="444"/>
    <x v="444"/>
    <x v="1"/>
    <x v="1"/>
    <x v="0"/>
    <x v="3"/>
    <x v="3"/>
    <x v="0"/>
    <x v="412"/>
    <x v="78"/>
    <x v="1"/>
    <x v="268"/>
    <x v="0"/>
    <x v="1"/>
  </r>
  <r>
    <x v="445"/>
    <x v="445"/>
    <x v="0"/>
    <x v="5"/>
    <x v="5"/>
    <x v="12"/>
    <x v="3"/>
    <x v="2"/>
    <x v="413"/>
    <x v="0"/>
    <x v="0"/>
    <x v="269"/>
    <x v="3"/>
    <x v="0"/>
  </r>
  <r>
    <x v="446"/>
    <x v="446"/>
    <x v="0"/>
    <x v="0"/>
    <x v="1"/>
    <x v="7"/>
    <x v="2"/>
    <x v="0"/>
    <x v="414"/>
    <x v="0"/>
    <x v="0"/>
    <x v="270"/>
    <x v="2"/>
    <x v="0"/>
  </r>
  <r>
    <x v="447"/>
    <x v="447"/>
    <x v="0"/>
    <x v="6"/>
    <x v="0"/>
    <x v="11"/>
    <x v="1"/>
    <x v="0"/>
    <x v="415"/>
    <x v="0"/>
    <x v="0"/>
    <x v="271"/>
    <x v="1"/>
    <x v="0"/>
  </r>
  <r>
    <x v="448"/>
    <x v="448"/>
    <x v="1"/>
    <x v="0"/>
    <x v="5"/>
    <x v="12"/>
    <x v="0"/>
    <x v="0"/>
    <x v="416"/>
    <x v="79"/>
    <x v="1"/>
    <x v="10"/>
    <x v="0"/>
    <x v="1"/>
  </r>
  <r>
    <x v="449"/>
    <x v="449"/>
    <x v="1"/>
    <x v="1"/>
    <x v="1"/>
    <x v="7"/>
    <x v="2"/>
    <x v="0"/>
    <x v="417"/>
    <x v="0"/>
    <x v="0"/>
    <x v="110"/>
    <x v="3"/>
    <x v="1"/>
  </r>
  <r>
    <x v="450"/>
    <x v="450"/>
    <x v="0"/>
    <x v="1"/>
    <x v="6"/>
    <x v="9"/>
    <x v="3"/>
    <x v="0"/>
    <x v="418"/>
    <x v="0"/>
    <x v="0"/>
    <x v="272"/>
    <x v="0"/>
    <x v="0"/>
  </r>
  <r>
    <x v="451"/>
    <x v="451"/>
    <x v="0"/>
    <x v="2"/>
    <x v="5"/>
    <x v="8"/>
    <x v="3"/>
    <x v="0"/>
    <x v="419"/>
    <x v="0"/>
    <x v="0"/>
    <x v="52"/>
    <x v="1"/>
    <x v="0"/>
  </r>
  <r>
    <x v="452"/>
    <x v="452"/>
    <x v="1"/>
    <x v="7"/>
    <x v="4"/>
    <x v="17"/>
    <x v="2"/>
    <x v="0"/>
    <x v="420"/>
    <x v="0"/>
    <x v="0"/>
    <x v="61"/>
    <x v="0"/>
    <x v="0"/>
  </r>
  <r>
    <x v="453"/>
    <x v="453"/>
    <x v="1"/>
    <x v="3"/>
    <x v="6"/>
    <x v="15"/>
    <x v="1"/>
    <x v="1"/>
    <x v="421"/>
    <x v="0"/>
    <x v="0"/>
    <x v="2"/>
    <x v="4"/>
    <x v="0"/>
  </r>
  <r>
    <x v="454"/>
    <x v="454"/>
    <x v="0"/>
    <x v="3"/>
    <x v="5"/>
    <x v="8"/>
    <x v="0"/>
    <x v="0"/>
    <x v="422"/>
    <x v="80"/>
    <x v="1"/>
    <x v="120"/>
    <x v="3"/>
    <x v="0"/>
  </r>
  <r>
    <x v="455"/>
    <x v="455"/>
    <x v="1"/>
    <x v="4"/>
    <x v="1"/>
    <x v="1"/>
    <x v="3"/>
    <x v="1"/>
    <x v="423"/>
    <x v="0"/>
    <x v="0"/>
    <x v="119"/>
    <x v="2"/>
    <x v="0"/>
  </r>
  <r>
    <x v="456"/>
    <x v="456"/>
    <x v="0"/>
    <x v="6"/>
    <x v="6"/>
    <x v="14"/>
    <x v="0"/>
    <x v="0"/>
    <x v="424"/>
    <x v="81"/>
    <x v="1"/>
    <x v="72"/>
    <x v="0"/>
    <x v="0"/>
  </r>
  <r>
    <x v="457"/>
    <x v="457"/>
    <x v="0"/>
    <x v="7"/>
    <x v="3"/>
    <x v="4"/>
    <x v="0"/>
    <x v="0"/>
    <x v="425"/>
    <x v="82"/>
    <x v="1"/>
    <x v="236"/>
    <x v="1"/>
    <x v="1"/>
  </r>
  <r>
    <x v="458"/>
    <x v="458"/>
    <x v="0"/>
    <x v="1"/>
    <x v="5"/>
    <x v="12"/>
    <x v="0"/>
    <x v="0"/>
    <x v="426"/>
    <x v="83"/>
    <x v="1"/>
    <x v="273"/>
    <x v="0"/>
    <x v="1"/>
  </r>
  <r>
    <x v="459"/>
    <x v="459"/>
    <x v="0"/>
    <x v="3"/>
    <x v="6"/>
    <x v="15"/>
    <x v="1"/>
    <x v="1"/>
    <x v="427"/>
    <x v="0"/>
    <x v="0"/>
    <x v="30"/>
    <x v="3"/>
    <x v="0"/>
  </r>
  <r>
    <x v="460"/>
    <x v="460"/>
    <x v="1"/>
    <x v="7"/>
    <x v="3"/>
    <x v="4"/>
    <x v="0"/>
    <x v="0"/>
    <x v="428"/>
    <x v="0"/>
    <x v="0"/>
    <x v="186"/>
    <x v="0"/>
    <x v="0"/>
  </r>
  <r>
    <x v="461"/>
    <x v="461"/>
    <x v="1"/>
    <x v="2"/>
    <x v="0"/>
    <x v="11"/>
    <x v="3"/>
    <x v="0"/>
    <x v="429"/>
    <x v="0"/>
    <x v="0"/>
    <x v="203"/>
    <x v="1"/>
    <x v="0"/>
  </r>
  <r>
    <x v="462"/>
    <x v="462"/>
    <x v="1"/>
    <x v="6"/>
    <x v="3"/>
    <x v="6"/>
    <x v="2"/>
    <x v="0"/>
    <x v="430"/>
    <x v="0"/>
    <x v="0"/>
    <x v="59"/>
    <x v="3"/>
    <x v="1"/>
  </r>
  <r>
    <x v="463"/>
    <x v="463"/>
    <x v="1"/>
    <x v="2"/>
    <x v="0"/>
    <x v="0"/>
    <x v="1"/>
    <x v="0"/>
    <x v="431"/>
    <x v="0"/>
    <x v="0"/>
    <x v="105"/>
    <x v="3"/>
    <x v="0"/>
  </r>
  <r>
    <x v="464"/>
    <x v="464"/>
    <x v="0"/>
    <x v="3"/>
    <x v="2"/>
    <x v="2"/>
    <x v="3"/>
    <x v="2"/>
    <x v="432"/>
    <x v="0"/>
    <x v="0"/>
    <x v="129"/>
    <x v="0"/>
    <x v="1"/>
  </r>
  <r>
    <x v="465"/>
    <x v="465"/>
    <x v="1"/>
    <x v="2"/>
    <x v="1"/>
    <x v="1"/>
    <x v="0"/>
    <x v="0"/>
    <x v="433"/>
    <x v="0"/>
    <x v="0"/>
    <x v="96"/>
    <x v="3"/>
    <x v="0"/>
  </r>
  <r>
    <x v="466"/>
    <x v="466"/>
    <x v="0"/>
    <x v="1"/>
    <x v="6"/>
    <x v="15"/>
    <x v="0"/>
    <x v="0"/>
    <x v="434"/>
    <x v="0"/>
    <x v="0"/>
    <x v="274"/>
    <x v="3"/>
    <x v="0"/>
  </r>
  <r>
    <x v="467"/>
    <x v="467"/>
    <x v="1"/>
    <x v="0"/>
    <x v="6"/>
    <x v="9"/>
    <x v="1"/>
    <x v="1"/>
    <x v="435"/>
    <x v="0"/>
    <x v="0"/>
    <x v="200"/>
    <x v="0"/>
    <x v="0"/>
  </r>
  <r>
    <x v="468"/>
    <x v="468"/>
    <x v="1"/>
    <x v="1"/>
    <x v="2"/>
    <x v="19"/>
    <x v="0"/>
    <x v="0"/>
    <x v="436"/>
    <x v="0"/>
    <x v="0"/>
    <x v="172"/>
    <x v="1"/>
    <x v="0"/>
  </r>
  <r>
    <x v="469"/>
    <x v="469"/>
    <x v="0"/>
    <x v="2"/>
    <x v="3"/>
    <x v="6"/>
    <x v="0"/>
    <x v="1"/>
    <x v="235"/>
    <x v="0"/>
    <x v="0"/>
    <x v="226"/>
    <x v="3"/>
    <x v="0"/>
  </r>
  <r>
    <x v="470"/>
    <x v="470"/>
    <x v="1"/>
    <x v="6"/>
    <x v="6"/>
    <x v="14"/>
    <x v="2"/>
    <x v="0"/>
    <x v="437"/>
    <x v="0"/>
    <x v="0"/>
    <x v="72"/>
    <x v="3"/>
    <x v="0"/>
  </r>
  <r>
    <x v="471"/>
    <x v="471"/>
    <x v="1"/>
    <x v="4"/>
    <x v="2"/>
    <x v="2"/>
    <x v="2"/>
    <x v="0"/>
    <x v="438"/>
    <x v="0"/>
    <x v="0"/>
    <x v="116"/>
    <x v="1"/>
    <x v="0"/>
  </r>
  <r>
    <x v="472"/>
    <x v="472"/>
    <x v="1"/>
    <x v="3"/>
    <x v="1"/>
    <x v="7"/>
    <x v="2"/>
    <x v="0"/>
    <x v="439"/>
    <x v="84"/>
    <x v="1"/>
    <x v="275"/>
    <x v="1"/>
    <x v="1"/>
  </r>
  <r>
    <x v="473"/>
    <x v="473"/>
    <x v="1"/>
    <x v="1"/>
    <x v="3"/>
    <x v="4"/>
    <x v="2"/>
    <x v="1"/>
    <x v="440"/>
    <x v="0"/>
    <x v="0"/>
    <x v="7"/>
    <x v="4"/>
    <x v="0"/>
  </r>
  <r>
    <x v="474"/>
    <x v="474"/>
    <x v="0"/>
    <x v="6"/>
    <x v="4"/>
    <x v="17"/>
    <x v="1"/>
    <x v="0"/>
    <x v="441"/>
    <x v="0"/>
    <x v="0"/>
    <x v="249"/>
    <x v="0"/>
    <x v="1"/>
  </r>
  <r>
    <x v="475"/>
    <x v="475"/>
    <x v="0"/>
    <x v="7"/>
    <x v="3"/>
    <x v="6"/>
    <x v="2"/>
    <x v="0"/>
    <x v="231"/>
    <x v="85"/>
    <x v="1"/>
    <x v="155"/>
    <x v="0"/>
    <x v="0"/>
  </r>
  <r>
    <x v="476"/>
    <x v="476"/>
    <x v="1"/>
    <x v="5"/>
    <x v="0"/>
    <x v="11"/>
    <x v="0"/>
    <x v="0"/>
    <x v="97"/>
    <x v="0"/>
    <x v="0"/>
    <x v="216"/>
    <x v="1"/>
    <x v="0"/>
  </r>
  <r>
    <x v="477"/>
    <x v="477"/>
    <x v="0"/>
    <x v="6"/>
    <x v="1"/>
    <x v="7"/>
    <x v="0"/>
    <x v="0"/>
    <x v="442"/>
    <x v="0"/>
    <x v="0"/>
    <x v="146"/>
    <x v="0"/>
    <x v="0"/>
  </r>
  <r>
    <x v="478"/>
    <x v="478"/>
    <x v="0"/>
    <x v="6"/>
    <x v="5"/>
    <x v="8"/>
    <x v="0"/>
    <x v="0"/>
    <x v="443"/>
    <x v="86"/>
    <x v="1"/>
    <x v="191"/>
    <x v="1"/>
    <x v="0"/>
  </r>
  <r>
    <x v="479"/>
    <x v="479"/>
    <x v="0"/>
    <x v="2"/>
    <x v="2"/>
    <x v="19"/>
    <x v="3"/>
    <x v="1"/>
    <x v="444"/>
    <x v="0"/>
    <x v="0"/>
    <x v="276"/>
    <x v="1"/>
    <x v="0"/>
  </r>
  <r>
    <x v="480"/>
    <x v="480"/>
    <x v="0"/>
    <x v="5"/>
    <x v="0"/>
    <x v="11"/>
    <x v="0"/>
    <x v="1"/>
    <x v="445"/>
    <x v="0"/>
    <x v="0"/>
    <x v="78"/>
    <x v="4"/>
    <x v="1"/>
  </r>
  <r>
    <x v="481"/>
    <x v="481"/>
    <x v="1"/>
    <x v="5"/>
    <x v="1"/>
    <x v="7"/>
    <x v="1"/>
    <x v="2"/>
    <x v="214"/>
    <x v="0"/>
    <x v="0"/>
    <x v="128"/>
    <x v="1"/>
    <x v="0"/>
  </r>
  <r>
    <x v="482"/>
    <x v="482"/>
    <x v="1"/>
    <x v="6"/>
    <x v="4"/>
    <x v="5"/>
    <x v="2"/>
    <x v="0"/>
    <x v="446"/>
    <x v="0"/>
    <x v="0"/>
    <x v="236"/>
    <x v="2"/>
    <x v="1"/>
  </r>
  <r>
    <x v="483"/>
    <x v="483"/>
    <x v="0"/>
    <x v="4"/>
    <x v="0"/>
    <x v="11"/>
    <x v="2"/>
    <x v="1"/>
    <x v="447"/>
    <x v="0"/>
    <x v="0"/>
    <x v="277"/>
    <x v="1"/>
    <x v="0"/>
  </r>
  <r>
    <x v="484"/>
    <x v="484"/>
    <x v="0"/>
    <x v="4"/>
    <x v="5"/>
    <x v="8"/>
    <x v="0"/>
    <x v="0"/>
    <x v="448"/>
    <x v="0"/>
    <x v="0"/>
    <x v="278"/>
    <x v="1"/>
    <x v="0"/>
  </r>
  <r>
    <x v="485"/>
    <x v="485"/>
    <x v="0"/>
    <x v="0"/>
    <x v="5"/>
    <x v="12"/>
    <x v="2"/>
    <x v="0"/>
    <x v="449"/>
    <x v="0"/>
    <x v="0"/>
    <x v="279"/>
    <x v="0"/>
    <x v="0"/>
  </r>
  <r>
    <x v="486"/>
    <x v="486"/>
    <x v="0"/>
    <x v="6"/>
    <x v="5"/>
    <x v="8"/>
    <x v="3"/>
    <x v="0"/>
    <x v="450"/>
    <x v="0"/>
    <x v="0"/>
    <x v="280"/>
    <x v="1"/>
    <x v="0"/>
  </r>
  <r>
    <x v="487"/>
    <x v="487"/>
    <x v="0"/>
    <x v="7"/>
    <x v="6"/>
    <x v="14"/>
    <x v="0"/>
    <x v="0"/>
    <x v="451"/>
    <x v="0"/>
    <x v="0"/>
    <x v="104"/>
    <x v="0"/>
    <x v="0"/>
  </r>
  <r>
    <x v="488"/>
    <x v="488"/>
    <x v="0"/>
    <x v="1"/>
    <x v="3"/>
    <x v="18"/>
    <x v="0"/>
    <x v="1"/>
    <x v="452"/>
    <x v="87"/>
    <x v="1"/>
    <x v="281"/>
    <x v="2"/>
    <x v="0"/>
  </r>
  <r>
    <x v="489"/>
    <x v="489"/>
    <x v="0"/>
    <x v="3"/>
    <x v="6"/>
    <x v="9"/>
    <x v="0"/>
    <x v="0"/>
    <x v="453"/>
    <x v="0"/>
    <x v="0"/>
    <x v="116"/>
    <x v="3"/>
    <x v="0"/>
  </r>
  <r>
    <x v="490"/>
    <x v="490"/>
    <x v="0"/>
    <x v="1"/>
    <x v="0"/>
    <x v="11"/>
    <x v="3"/>
    <x v="0"/>
    <x v="454"/>
    <x v="88"/>
    <x v="1"/>
    <x v="282"/>
    <x v="0"/>
    <x v="0"/>
  </r>
  <r>
    <x v="491"/>
    <x v="491"/>
    <x v="0"/>
    <x v="5"/>
    <x v="5"/>
    <x v="16"/>
    <x v="2"/>
    <x v="0"/>
    <x v="455"/>
    <x v="0"/>
    <x v="0"/>
    <x v="154"/>
    <x v="3"/>
    <x v="0"/>
  </r>
  <r>
    <x v="492"/>
    <x v="492"/>
    <x v="0"/>
    <x v="5"/>
    <x v="1"/>
    <x v="1"/>
    <x v="0"/>
    <x v="0"/>
    <x v="456"/>
    <x v="0"/>
    <x v="0"/>
    <x v="18"/>
    <x v="3"/>
    <x v="0"/>
  </r>
  <r>
    <x v="493"/>
    <x v="493"/>
    <x v="1"/>
    <x v="0"/>
    <x v="2"/>
    <x v="2"/>
    <x v="2"/>
    <x v="1"/>
    <x v="457"/>
    <x v="0"/>
    <x v="0"/>
    <x v="65"/>
    <x v="1"/>
    <x v="0"/>
  </r>
  <r>
    <x v="494"/>
    <x v="494"/>
    <x v="0"/>
    <x v="7"/>
    <x v="5"/>
    <x v="8"/>
    <x v="2"/>
    <x v="0"/>
    <x v="458"/>
    <x v="0"/>
    <x v="0"/>
    <x v="283"/>
    <x v="0"/>
    <x v="0"/>
  </r>
  <r>
    <x v="495"/>
    <x v="495"/>
    <x v="0"/>
    <x v="3"/>
    <x v="0"/>
    <x v="3"/>
    <x v="1"/>
    <x v="0"/>
    <x v="459"/>
    <x v="0"/>
    <x v="0"/>
    <x v="284"/>
    <x v="3"/>
    <x v="1"/>
  </r>
  <r>
    <x v="496"/>
    <x v="496"/>
    <x v="0"/>
    <x v="1"/>
    <x v="5"/>
    <x v="16"/>
    <x v="2"/>
    <x v="0"/>
    <x v="460"/>
    <x v="89"/>
    <x v="1"/>
    <x v="285"/>
    <x v="0"/>
    <x v="0"/>
  </r>
  <r>
    <x v="497"/>
    <x v="497"/>
    <x v="1"/>
    <x v="5"/>
    <x v="0"/>
    <x v="0"/>
    <x v="1"/>
    <x v="0"/>
    <x v="461"/>
    <x v="90"/>
    <x v="1"/>
    <x v="245"/>
    <x v="3"/>
    <x v="0"/>
  </r>
  <r>
    <x v="498"/>
    <x v="498"/>
    <x v="0"/>
    <x v="3"/>
    <x v="1"/>
    <x v="1"/>
    <x v="1"/>
    <x v="0"/>
    <x v="462"/>
    <x v="0"/>
    <x v="0"/>
    <x v="286"/>
    <x v="1"/>
    <x v="0"/>
  </r>
  <r>
    <x v="499"/>
    <x v="499"/>
    <x v="1"/>
    <x v="7"/>
    <x v="6"/>
    <x v="14"/>
    <x v="2"/>
    <x v="0"/>
    <x v="463"/>
    <x v="0"/>
    <x v="0"/>
    <x v="40"/>
    <x v="1"/>
    <x v="0"/>
  </r>
  <r>
    <x v="500"/>
    <x v="500"/>
    <x v="1"/>
    <x v="4"/>
    <x v="1"/>
    <x v="7"/>
    <x v="0"/>
    <x v="0"/>
    <x v="274"/>
    <x v="0"/>
    <x v="0"/>
    <x v="257"/>
    <x v="0"/>
    <x v="0"/>
  </r>
  <r>
    <x v="501"/>
    <x v="501"/>
    <x v="1"/>
    <x v="4"/>
    <x v="1"/>
    <x v="7"/>
    <x v="3"/>
    <x v="1"/>
    <x v="464"/>
    <x v="0"/>
    <x v="0"/>
    <x v="210"/>
    <x v="3"/>
    <x v="0"/>
  </r>
  <r>
    <x v="502"/>
    <x v="502"/>
    <x v="0"/>
    <x v="5"/>
    <x v="5"/>
    <x v="12"/>
    <x v="0"/>
    <x v="0"/>
    <x v="465"/>
    <x v="0"/>
    <x v="0"/>
    <x v="172"/>
    <x v="3"/>
    <x v="1"/>
  </r>
  <r>
    <x v="503"/>
    <x v="503"/>
    <x v="0"/>
    <x v="4"/>
    <x v="6"/>
    <x v="9"/>
    <x v="3"/>
    <x v="0"/>
    <x v="466"/>
    <x v="0"/>
    <x v="0"/>
    <x v="50"/>
    <x v="3"/>
    <x v="0"/>
  </r>
  <r>
    <x v="504"/>
    <x v="504"/>
    <x v="1"/>
    <x v="7"/>
    <x v="3"/>
    <x v="6"/>
    <x v="0"/>
    <x v="0"/>
    <x v="467"/>
    <x v="0"/>
    <x v="0"/>
    <x v="71"/>
    <x v="4"/>
    <x v="1"/>
  </r>
  <r>
    <x v="505"/>
    <x v="505"/>
    <x v="0"/>
    <x v="2"/>
    <x v="3"/>
    <x v="6"/>
    <x v="2"/>
    <x v="0"/>
    <x v="78"/>
    <x v="0"/>
    <x v="0"/>
    <x v="54"/>
    <x v="0"/>
    <x v="1"/>
  </r>
  <r>
    <x v="506"/>
    <x v="506"/>
    <x v="1"/>
    <x v="7"/>
    <x v="2"/>
    <x v="19"/>
    <x v="1"/>
    <x v="0"/>
    <x v="468"/>
    <x v="18"/>
    <x v="1"/>
    <x v="67"/>
    <x v="2"/>
    <x v="0"/>
  </r>
  <r>
    <x v="507"/>
    <x v="507"/>
    <x v="0"/>
    <x v="4"/>
    <x v="0"/>
    <x v="3"/>
    <x v="1"/>
    <x v="0"/>
    <x v="469"/>
    <x v="0"/>
    <x v="0"/>
    <x v="105"/>
    <x v="1"/>
    <x v="0"/>
  </r>
  <r>
    <x v="508"/>
    <x v="508"/>
    <x v="1"/>
    <x v="6"/>
    <x v="3"/>
    <x v="6"/>
    <x v="0"/>
    <x v="0"/>
    <x v="470"/>
    <x v="0"/>
    <x v="0"/>
    <x v="183"/>
    <x v="2"/>
    <x v="1"/>
  </r>
  <r>
    <x v="509"/>
    <x v="509"/>
    <x v="0"/>
    <x v="7"/>
    <x v="6"/>
    <x v="14"/>
    <x v="0"/>
    <x v="0"/>
    <x v="471"/>
    <x v="0"/>
    <x v="0"/>
    <x v="237"/>
    <x v="2"/>
    <x v="1"/>
  </r>
  <r>
    <x v="510"/>
    <x v="510"/>
    <x v="1"/>
    <x v="4"/>
    <x v="1"/>
    <x v="1"/>
    <x v="2"/>
    <x v="0"/>
    <x v="472"/>
    <x v="91"/>
    <x v="1"/>
    <x v="257"/>
    <x v="2"/>
    <x v="0"/>
  </r>
  <r>
    <x v="511"/>
    <x v="511"/>
    <x v="0"/>
    <x v="1"/>
    <x v="5"/>
    <x v="8"/>
    <x v="0"/>
    <x v="0"/>
    <x v="473"/>
    <x v="92"/>
    <x v="1"/>
    <x v="72"/>
    <x v="4"/>
    <x v="0"/>
  </r>
  <r>
    <x v="512"/>
    <x v="512"/>
    <x v="1"/>
    <x v="2"/>
    <x v="3"/>
    <x v="18"/>
    <x v="1"/>
    <x v="0"/>
    <x v="474"/>
    <x v="0"/>
    <x v="0"/>
    <x v="150"/>
    <x v="1"/>
    <x v="0"/>
  </r>
  <r>
    <x v="513"/>
    <x v="513"/>
    <x v="1"/>
    <x v="5"/>
    <x v="6"/>
    <x v="14"/>
    <x v="1"/>
    <x v="1"/>
    <x v="475"/>
    <x v="0"/>
    <x v="0"/>
    <x v="137"/>
    <x v="3"/>
    <x v="0"/>
  </r>
  <r>
    <x v="514"/>
    <x v="514"/>
    <x v="0"/>
    <x v="7"/>
    <x v="1"/>
    <x v="10"/>
    <x v="0"/>
    <x v="1"/>
    <x v="476"/>
    <x v="93"/>
    <x v="1"/>
    <x v="254"/>
    <x v="0"/>
    <x v="0"/>
  </r>
  <r>
    <x v="515"/>
    <x v="515"/>
    <x v="0"/>
    <x v="2"/>
    <x v="1"/>
    <x v="1"/>
    <x v="3"/>
    <x v="1"/>
    <x v="477"/>
    <x v="94"/>
    <x v="1"/>
    <x v="52"/>
    <x v="3"/>
    <x v="1"/>
  </r>
  <r>
    <x v="516"/>
    <x v="516"/>
    <x v="1"/>
    <x v="4"/>
    <x v="1"/>
    <x v="10"/>
    <x v="1"/>
    <x v="0"/>
    <x v="478"/>
    <x v="0"/>
    <x v="0"/>
    <x v="250"/>
    <x v="1"/>
    <x v="0"/>
  </r>
  <r>
    <x v="517"/>
    <x v="517"/>
    <x v="1"/>
    <x v="5"/>
    <x v="4"/>
    <x v="5"/>
    <x v="2"/>
    <x v="1"/>
    <x v="479"/>
    <x v="0"/>
    <x v="0"/>
    <x v="170"/>
    <x v="0"/>
    <x v="0"/>
  </r>
  <r>
    <x v="518"/>
    <x v="518"/>
    <x v="0"/>
    <x v="4"/>
    <x v="6"/>
    <x v="14"/>
    <x v="1"/>
    <x v="0"/>
    <x v="480"/>
    <x v="0"/>
    <x v="0"/>
    <x v="287"/>
    <x v="0"/>
    <x v="0"/>
  </r>
  <r>
    <x v="519"/>
    <x v="519"/>
    <x v="1"/>
    <x v="0"/>
    <x v="3"/>
    <x v="18"/>
    <x v="2"/>
    <x v="0"/>
    <x v="481"/>
    <x v="95"/>
    <x v="1"/>
    <x v="129"/>
    <x v="1"/>
    <x v="0"/>
  </r>
  <r>
    <x v="520"/>
    <x v="520"/>
    <x v="1"/>
    <x v="2"/>
    <x v="0"/>
    <x v="11"/>
    <x v="2"/>
    <x v="0"/>
    <x v="482"/>
    <x v="96"/>
    <x v="1"/>
    <x v="288"/>
    <x v="1"/>
    <x v="0"/>
  </r>
  <r>
    <x v="521"/>
    <x v="521"/>
    <x v="0"/>
    <x v="7"/>
    <x v="2"/>
    <x v="2"/>
    <x v="1"/>
    <x v="0"/>
    <x v="483"/>
    <x v="0"/>
    <x v="0"/>
    <x v="245"/>
    <x v="3"/>
    <x v="0"/>
  </r>
  <r>
    <x v="522"/>
    <x v="522"/>
    <x v="1"/>
    <x v="5"/>
    <x v="2"/>
    <x v="19"/>
    <x v="1"/>
    <x v="0"/>
    <x v="484"/>
    <x v="97"/>
    <x v="1"/>
    <x v="253"/>
    <x v="0"/>
    <x v="1"/>
  </r>
  <r>
    <x v="523"/>
    <x v="523"/>
    <x v="0"/>
    <x v="7"/>
    <x v="5"/>
    <x v="8"/>
    <x v="0"/>
    <x v="0"/>
    <x v="485"/>
    <x v="0"/>
    <x v="0"/>
    <x v="289"/>
    <x v="2"/>
    <x v="0"/>
  </r>
  <r>
    <x v="524"/>
    <x v="524"/>
    <x v="1"/>
    <x v="5"/>
    <x v="3"/>
    <x v="18"/>
    <x v="2"/>
    <x v="1"/>
    <x v="486"/>
    <x v="0"/>
    <x v="0"/>
    <x v="140"/>
    <x v="1"/>
    <x v="0"/>
  </r>
  <r>
    <x v="525"/>
    <x v="525"/>
    <x v="1"/>
    <x v="3"/>
    <x v="0"/>
    <x v="3"/>
    <x v="2"/>
    <x v="0"/>
    <x v="36"/>
    <x v="0"/>
    <x v="0"/>
    <x v="47"/>
    <x v="0"/>
    <x v="0"/>
  </r>
  <r>
    <x v="526"/>
    <x v="526"/>
    <x v="1"/>
    <x v="3"/>
    <x v="5"/>
    <x v="8"/>
    <x v="0"/>
    <x v="0"/>
    <x v="487"/>
    <x v="0"/>
    <x v="0"/>
    <x v="290"/>
    <x v="0"/>
    <x v="1"/>
  </r>
  <r>
    <x v="527"/>
    <x v="527"/>
    <x v="0"/>
    <x v="1"/>
    <x v="6"/>
    <x v="9"/>
    <x v="1"/>
    <x v="1"/>
    <x v="259"/>
    <x v="98"/>
    <x v="1"/>
    <x v="117"/>
    <x v="1"/>
    <x v="0"/>
  </r>
  <r>
    <x v="528"/>
    <x v="528"/>
    <x v="0"/>
    <x v="7"/>
    <x v="4"/>
    <x v="17"/>
    <x v="1"/>
    <x v="0"/>
    <x v="37"/>
    <x v="0"/>
    <x v="0"/>
    <x v="139"/>
    <x v="0"/>
    <x v="0"/>
  </r>
  <r>
    <x v="529"/>
    <x v="529"/>
    <x v="1"/>
    <x v="1"/>
    <x v="6"/>
    <x v="15"/>
    <x v="2"/>
    <x v="0"/>
    <x v="488"/>
    <x v="0"/>
    <x v="0"/>
    <x v="152"/>
    <x v="0"/>
    <x v="0"/>
  </r>
  <r>
    <x v="530"/>
    <x v="530"/>
    <x v="0"/>
    <x v="7"/>
    <x v="3"/>
    <x v="18"/>
    <x v="3"/>
    <x v="0"/>
    <x v="489"/>
    <x v="0"/>
    <x v="0"/>
    <x v="291"/>
    <x v="3"/>
    <x v="0"/>
  </r>
  <r>
    <x v="531"/>
    <x v="531"/>
    <x v="0"/>
    <x v="3"/>
    <x v="5"/>
    <x v="12"/>
    <x v="0"/>
    <x v="0"/>
    <x v="490"/>
    <x v="0"/>
    <x v="0"/>
    <x v="108"/>
    <x v="3"/>
    <x v="1"/>
  </r>
  <r>
    <x v="532"/>
    <x v="532"/>
    <x v="1"/>
    <x v="2"/>
    <x v="1"/>
    <x v="10"/>
    <x v="3"/>
    <x v="0"/>
    <x v="491"/>
    <x v="0"/>
    <x v="0"/>
    <x v="292"/>
    <x v="0"/>
    <x v="0"/>
  </r>
  <r>
    <x v="533"/>
    <x v="533"/>
    <x v="1"/>
    <x v="5"/>
    <x v="4"/>
    <x v="20"/>
    <x v="0"/>
    <x v="1"/>
    <x v="159"/>
    <x v="0"/>
    <x v="0"/>
    <x v="158"/>
    <x v="1"/>
    <x v="1"/>
  </r>
  <r>
    <x v="534"/>
    <x v="534"/>
    <x v="1"/>
    <x v="6"/>
    <x v="6"/>
    <x v="15"/>
    <x v="1"/>
    <x v="2"/>
    <x v="241"/>
    <x v="99"/>
    <x v="1"/>
    <x v="64"/>
    <x v="1"/>
    <x v="0"/>
  </r>
  <r>
    <x v="535"/>
    <x v="535"/>
    <x v="0"/>
    <x v="2"/>
    <x v="3"/>
    <x v="18"/>
    <x v="2"/>
    <x v="0"/>
    <x v="492"/>
    <x v="0"/>
    <x v="0"/>
    <x v="49"/>
    <x v="3"/>
    <x v="0"/>
  </r>
  <r>
    <x v="536"/>
    <x v="536"/>
    <x v="1"/>
    <x v="3"/>
    <x v="5"/>
    <x v="12"/>
    <x v="2"/>
    <x v="0"/>
    <x v="493"/>
    <x v="100"/>
    <x v="1"/>
    <x v="109"/>
    <x v="2"/>
    <x v="1"/>
  </r>
  <r>
    <x v="537"/>
    <x v="537"/>
    <x v="1"/>
    <x v="7"/>
    <x v="3"/>
    <x v="6"/>
    <x v="1"/>
    <x v="0"/>
    <x v="494"/>
    <x v="101"/>
    <x v="1"/>
    <x v="77"/>
    <x v="2"/>
    <x v="0"/>
  </r>
  <r>
    <x v="538"/>
    <x v="538"/>
    <x v="1"/>
    <x v="5"/>
    <x v="6"/>
    <x v="15"/>
    <x v="0"/>
    <x v="2"/>
    <x v="495"/>
    <x v="0"/>
    <x v="0"/>
    <x v="238"/>
    <x v="0"/>
    <x v="0"/>
  </r>
  <r>
    <x v="539"/>
    <x v="539"/>
    <x v="1"/>
    <x v="5"/>
    <x v="5"/>
    <x v="8"/>
    <x v="1"/>
    <x v="0"/>
    <x v="146"/>
    <x v="23"/>
    <x v="1"/>
    <x v="116"/>
    <x v="0"/>
    <x v="1"/>
  </r>
  <r>
    <x v="540"/>
    <x v="540"/>
    <x v="1"/>
    <x v="6"/>
    <x v="0"/>
    <x v="0"/>
    <x v="0"/>
    <x v="0"/>
    <x v="496"/>
    <x v="0"/>
    <x v="0"/>
    <x v="293"/>
    <x v="1"/>
    <x v="1"/>
  </r>
  <r>
    <x v="541"/>
    <x v="541"/>
    <x v="0"/>
    <x v="2"/>
    <x v="0"/>
    <x v="0"/>
    <x v="3"/>
    <x v="0"/>
    <x v="497"/>
    <x v="102"/>
    <x v="1"/>
    <x v="294"/>
    <x v="2"/>
    <x v="0"/>
  </r>
  <r>
    <x v="542"/>
    <x v="542"/>
    <x v="1"/>
    <x v="7"/>
    <x v="4"/>
    <x v="20"/>
    <x v="2"/>
    <x v="0"/>
    <x v="498"/>
    <x v="103"/>
    <x v="1"/>
    <x v="11"/>
    <x v="0"/>
    <x v="0"/>
  </r>
  <r>
    <x v="543"/>
    <x v="543"/>
    <x v="0"/>
    <x v="4"/>
    <x v="6"/>
    <x v="9"/>
    <x v="1"/>
    <x v="1"/>
    <x v="499"/>
    <x v="0"/>
    <x v="0"/>
    <x v="176"/>
    <x v="2"/>
    <x v="0"/>
  </r>
  <r>
    <x v="544"/>
    <x v="544"/>
    <x v="1"/>
    <x v="7"/>
    <x v="5"/>
    <x v="16"/>
    <x v="0"/>
    <x v="0"/>
    <x v="500"/>
    <x v="104"/>
    <x v="1"/>
    <x v="206"/>
    <x v="1"/>
    <x v="0"/>
  </r>
  <r>
    <x v="545"/>
    <x v="545"/>
    <x v="1"/>
    <x v="3"/>
    <x v="0"/>
    <x v="0"/>
    <x v="1"/>
    <x v="0"/>
    <x v="501"/>
    <x v="105"/>
    <x v="1"/>
    <x v="287"/>
    <x v="3"/>
    <x v="0"/>
  </r>
  <r>
    <x v="546"/>
    <x v="546"/>
    <x v="0"/>
    <x v="5"/>
    <x v="3"/>
    <x v="18"/>
    <x v="3"/>
    <x v="0"/>
    <x v="502"/>
    <x v="0"/>
    <x v="0"/>
    <x v="295"/>
    <x v="2"/>
    <x v="0"/>
  </r>
  <r>
    <x v="547"/>
    <x v="547"/>
    <x v="0"/>
    <x v="3"/>
    <x v="0"/>
    <x v="11"/>
    <x v="1"/>
    <x v="0"/>
    <x v="410"/>
    <x v="0"/>
    <x v="0"/>
    <x v="250"/>
    <x v="1"/>
    <x v="1"/>
  </r>
  <r>
    <x v="548"/>
    <x v="548"/>
    <x v="0"/>
    <x v="2"/>
    <x v="6"/>
    <x v="15"/>
    <x v="0"/>
    <x v="0"/>
    <x v="503"/>
    <x v="0"/>
    <x v="0"/>
    <x v="296"/>
    <x v="3"/>
    <x v="1"/>
  </r>
  <r>
    <x v="549"/>
    <x v="549"/>
    <x v="1"/>
    <x v="7"/>
    <x v="5"/>
    <x v="12"/>
    <x v="3"/>
    <x v="0"/>
    <x v="167"/>
    <x v="0"/>
    <x v="0"/>
    <x v="27"/>
    <x v="0"/>
    <x v="0"/>
  </r>
  <r>
    <x v="550"/>
    <x v="550"/>
    <x v="0"/>
    <x v="3"/>
    <x v="2"/>
    <x v="2"/>
    <x v="0"/>
    <x v="0"/>
    <x v="504"/>
    <x v="0"/>
    <x v="0"/>
    <x v="297"/>
    <x v="1"/>
    <x v="1"/>
  </r>
  <r>
    <x v="551"/>
    <x v="551"/>
    <x v="1"/>
    <x v="1"/>
    <x v="2"/>
    <x v="13"/>
    <x v="3"/>
    <x v="0"/>
    <x v="505"/>
    <x v="106"/>
    <x v="1"/>
    <x v="279"/>
    <x v="1"/>
    <x v="0"/>
  </r>
  <r>
    <x v="552"/>
    <x v="552"/>
    <x v="0"/>
    <x v="1"/>
    <x v="6"/>
    <x v="9"/>
    <x v="3"/>
    <x v="0"/>
    <x v="506"/>
    <x v="107"/>
    <x v="1"/>
    <x v="122"/>
    <x v="2"/>
    <x v="0"/>
  </r>
  <r>
    <x v="553"/>
    <x v="553"/>
    <x v="0"/>
    <x v="5"/>
    <x v="5"/>
    <x v="16"/>
    <x v="2"/>
    <x v="1"/>
    <x v="507"/>
    <x v="108"/>
    <x v="1"/>
    <x v="181"/>
    <x v="1"/>
    <x v="1"/>
  </r>
  <r>
    <x v="554"/>
    <x v="554"/>
    <x v="0"/>
    <x v="7"/>
    <x v="6"/>
    <x v="15"/>
    <x v="1"/>
    <x v="0"/>
    <x v="508"/>
    <x v="0"/>
    <x v="0"/>
    <x v="43"/>
    <x v="0"/>
    <x v="0"/>
  </r>
  <r>
    <x v="555"/>
    <x v="555"/>
    <x v="0"/>
    <x v="2"/>
    <x v="5"/>
    <x v="8"/>
    <x v="1"/>
    <x v="0"/>
    <x v="509"/>
    <x v="0"/>
    <x v="0"/>
    <x v="231"/>
    <x v="0"/>
    <x v="1"/>
  </r>
  <r>
    <x v="556"/>
    <x v="556"/>
    <x v="0"/>
    <x v="2"/>
    <x v="5"/>
    <x v="12"/>
    <x v="0"/>
    <x v="0"/>
    <x v="510"/>
    <x v="109"/>
    <x v="1"/>
    <x v="240"/>
    <x v="1"/>
    <x v="0"/>
  </r>
  <r>
    <x v="557"/>
    <x v="557"/>
    <x v="1"/>
    <x v="1"/>
    <x v="6"/>
    <x v="9"/>
    <x v="2"/>
    <x v="0"/>
    <x v="511"/>
    <x v="110"/>
    <x v="1"/>
    <x v="139"/>
    <x v="1"/>
    <x v="0"/>
  </r>
  <r>
    <x v="558"/>
    <x v="558"/>
    <x v="0"/>
    <x v="1"/>
    <x v="4"/>
    <x v="17"/>
    <x v="1"/>
    <x v="0"/>
    <x v="512"/>
    <x v="0"/>
    <x v="0"/>
    <x v="5"/>
    <x v="4"/>
    <x v="0"/>
  </r>
  <r>
    <x v="559"/>
    <x v="559"/>
    <x v="1"/>
    <x v="0"/>
    <x v="2"/>
    <x v="13"/>
    <x v="1"/>
    <x v="0"/>
    <x v="513"/>
    <x v="0"/>
    <x v="0"/>
    <x v="185"/>
    <x v="4"/>
    <x v="1"/>
  </r>
  <r>
    <x v="560"/>
    <x v="560"/>
    <x v="1"/>
    <x v="5"/>
    <x v="0"/>
    <x v="11"/>
    <x v="1"/>
    <x v="0"/>
    <x v="514"/>
    <x v="0"/>
    <x v="0"/>
    <x v="298"/>
    <x v="1"/>
    <x v="0"/>
  </r>
  <r>
    <x v="561"/>
    <x v="561"/>
    <x v="1"/>
    <x v="2"/>
    <x v="0"/>
    <x v="3"/>
    <x v="1"/>
    <x v="0"/>
    <x v="515"/>
    <x v="111"/>
    <x v="1"/>
    <x v="214"/>
    <x v="1"/>
    <x v="0"/>
  </r>
  <r>
    <x v="562"/>
    <x v="562"/>
    <x v="1"/>
    <x v="1"/>
    <x v="1"/>
    <x v="10"/>
    <x v="1"/>
    <x v="0"/>
    <x v="516"/>
    <x v="0"/>
    <x v="0"/>
    <x v="299"/>
    <x v="1"/>
    <x v="0"/>
  </r>
  <r>
    <x v="563"/>
    <x v="563"/>
    <x v="1"/>
    <x v="5"/>
    <x v="0"/>
    <x v="0"/>
    <x v="0"/>
    <x v="0"/>
    <x v="517"/>
    <x v="112"/>
    <x v="1"/>
    <x v="151"/>
    <x v="1"/>
    <x v="0"/>
  </r>
  <r>
    <x v="564"/>
    <x v="564"/>
    <x v="0"/>
    <x v="2"/>
    <x v="6"/>
    <x v="9"/>
    <x v="1"/>
    <x v="0"/>
    <x v="518"/>
    <x v="0"/>
    <x v="0"/>
    <x v="275"/>
    <x v="1"/>
    <x v="0"/>
  </r>
  <r>
    <x v="565"/>
    <x v="565"/>
    <x v="0"/>
    <x v="0"/>
    <x v="5"/>
    <x v="12"/>
    <x v="0"/>
    <x v="0"/>
    <x v="379"/>
    <x v="0"/>
    <x v="0"/>
    <x v="201"/>
    <x v="0"/>
    <x v="0"/>
  </r>
  <r>
    <x v="566"/>
    <x v="566"/>
    <x v="1"/>
    <x v="2"/>
    <x v="6"/>
    <x v="9"/>
    <x v="3"/>
    <x v="0"/>
    <x v="519"/>
    <x v="113"/>
    <x v="1"/>
    <x v="191"/>
    <x v="0"/>
    <x v="0"/>
  </r>
  <r>
    <x v="567"/>
    <x v="567"/>
    <x v="0"/>
    <x v="4"/>
    <x v="0"/>
    <x v="0"/>
    <x v="0"/>
    <x v="0"/>
    <x v="520"/>
    <x v="0"/>
    <x v="0"/>
    <x v="300"/>
    <x v="3"/>
    <x v="0"/>
  </r>
  <r>
    <x v="568"/>
    <x v="568"/>
    <x v="1"/>
    <x v="7"/>
    <x v="5"/>
    <x v="12"/>
    <x v="3"/>
    <x v="0"/>
    <x v="521"/>
    <x v="0"/>
    <x v="0"/>
    <x v="301"/>
    <x v="2"/>
    <x v="0"/>
  </r>
  <r>
    <x v="569"/>
    <x v="569"/>
    <x v="1"/>
    <x v="3"/>
    <x v="5"/>
    <x v="12"/>
    <x v="3"/>
    <x v="0"/>
    <x v="39"/>
    <x v="0"/>
    <x v="0"/>
    <x v="85"/>
    <x v="1"/>
    <x v="0"/>
  </r>
  <r>
    <x v="570"/>
    <x v="570"/>
    <x v="1"/>
    <x v="3"/>
    <x v="0"/>
    <x v="3"/>
    <x v="0"/>
    <x v="0"/>
    <x v="522"/>
    <x v="0"/>
    <x v="0"/>
    <x v="3"/>
    <x v="4"/>
    <x v="0"/>
  </r>
  <r>
    <x v="571"/>
    <x v="571"/>
    <x v="0"/>
    <x v="0"/>
    <x v="5"/>
    <x v="8"/>
    <x v="2"/>
    <x v="0"/>
    <x v="523"/>
    <x v="114"/>
    <x v="1"/>
    <x v="108"/>
    <x v="1"/>
    <x v="0"/>
  </r>
  <r>
    <x v="572"/>
    <x v="572"/>
    <x v="1"/>
    <x v="6"/>
    <x v="5"/>
    <x v="12"/>
    <x v="1"/>
    <x v="2"/>
    <x v="407"/>
    <x v="0"/>
    <x v="0"/>
    <x v="209"/>
    <x v="3"/>
    <x v="0"/>
  </r>
  <r>
    <x v="573"/>
    <x v="573"/>
    <x v="0"/>
    <x v="5"/>
    <x v="3"/>
    <x v="6"/>
    <x v="2"/>
    <x v="1"/>
    <x v="524"/>
    <x v="0"/>
    <x v="0"/>
    <x v="281"/>
    <x v="1"/>
    <x v="0"/>
  </r>
  <r>
    <x v="574"/>
    <x v="574"/>
    <x v="0"/>
    <x v="6"/>
    <x v="6"/>
    <x v="9"/>
    <x v="2"/>
    <x v="0"/>
    <x v="525"/>
    <x v="0"/>
    <x v="0"/>
    <x v="177"/>
    <x v="0"/>
    <x v="0"/>
  </r>
  <r>
    <x v="575"/>
    <x v="575"/>
    <x v="0"/>
    <x v="1"/>
    <x v="3"/>
    <x v="4"/>
    <x v="3"/>
    <x v="0"/>
    <x v="526"/>
    <x v="0"/>
    <x v="0"/>
    <x v="128"/>
    <x v="1"/>
    <x v="0"/>
  </r>
  <r>
    <x v="576"/>
    <x v="576"/>
    <x v="0"/>
    <x v="6"/>
    <x v="2"/>
    <x v="2"/>
    <x v="3"/>
    <x v="1"/>
    <x v="527"/>
    <x v="0"/>
    <x v="0"/>
    <x v="223"/>
    <x v="1"/>
    <x v="0"/>
  </r>
  <r>
    <x v="577"/>
    <x v="577"/>
    <x v="0"/>
    <x v="5"/>
    <x v="5"/>
    <x v="12"/>
    <x v="3"/>
    <x v="0"/>
    <x v="528"/>
    <x v="0"/>
    <x v="0"/>
    <x v="127"/>
    <x v="1"/>
    <x v="1"/>
  </r>
  <r>
    <x v="578"/>
    <x v="578"/>
    <x v="0"/>
    <x v="6"/>
    <x v="6"/>
    <x v="14"/>
    <x v="2"/>
    <x v="0"/>
    <x v="529"/>
    <x v="115"/>
    <x v="1"/>
    <x v="302"/>
    <x v="0"/>
    <x v="1"/>
  </r>
  <r>
    <x v="579"/>
    <x v="579"/>
    <x v="1"/>
    <x v="3"/>
    <x v="1"/>
    <x v="7"/>
    <x v="0"/>
    <x v="0"/>
    <x v="530"/>
    <x v="0"/>
    <x v="0"/>
    <x v="29"/>
    <x v="0"/>
    <x v="0"/>
  </r>
  <r>
    <x v="580"/>
    <x v="580"/>
    <x v="0"/>
    <x v="3"/>
    <x v="0"/>
    <x v="11"/>
    <x v="0"/>
    <x v="0"/>
    <x v="210"/>
    <x v="0"/>
    <x v="0"/>
    <x v="303"/>
    <x v="0"/>
    <x v="1"/>
  </r>
  <r>
    <x v="581"/>
    <x v="581"/>
    <x v="0"/>
    <x v="5"/>
    <x v="3"/>
    <x v="6"/>
    <x v="1"/>
    <x v="0"/>
    <x v="531"/>
    <x v="0"/>
    <x v="0"/>
    <x v="79"/>
    <x v="1"/>
    <x v="1"/>
  </r>
  <r>
    <x v="582"/>
    <x v="582"/>
    <x v="0"/>
    <x v="7"/>
    <x v="1"/>
    <x v="7"/>
    <x v="1"/>
    <x v="1"/>
    <x v="532"/>
    <x v="0"/>
    <x v="0"/>
    <x v="66"/>
    <x v="0"/>
    <x v="0"/>
  </r>
  <r>
    <x v="583"/>
    <x v="583"/>
    <x v="0"/>
    <x v="2"/>
    <x v="3"/>
    <x v="18"/>
    <x v="1"/>
    <x v="0"/>
    <x v="533"/>
    <x v="0"/>
    <x v="0"/>
    <x v="304"/>
    <x v="1"/>
    <x v="1"/>
  </r>
  <r>
    <x v="584"/>
    <x v="584"/>
    <x v="0"/>
    <x v="4"/>
    <x v="0"/>
    <x v="11"/>
    <x v="2"/>
    <x v="0"/>
    <x v="534"/>
    <x v="0"/>
    <x v="0"/>
    <x v="87"/>
    <x v="1"/>
    <x v="0"/>
  </r>
  <r>
    <x v="585"/>
    <x v="585"/>
    <x v="0"/>
    <x v="4"/>
    <x v="6"/>
    <x v="14"/>
    <x v="1"/>
    <x v="0"/>
    <x v="535"/>
    <x v="0"/>
    <x v="0"/>
    <x v="34"/>
    <x v="4"/>
    <x v="1"/>
  </r>
  <r>
    <x v="586"/>
    <x v="586"/>
    <x v="0"/>
    <x v="6"/>
    <x v="6"/>
    <x v="14"/>
    <x v="1"/>
    <x v="0"/>
    <x v="536"/>
    <x v="0"/>
    <x v="0"/>
    <x v="43"/>
    <x v="4"/>
    <x v="0"/>
  </r>
  <r>
    <x v="587"/>
    <x v="587"/>
    <x v="1"/>
    <x v="2"/>
    <x v="3"/>
    <x v="4"/>
    <x v="3"/>
    <x v="0"/>
    <x v="537"/>
    <x v="0"/>
    <x v="0"/>
    <x v="117"/>
    <x v="1"/>
    <x v="0"/>
  </r>
  <r>
    <x v="588"/>
    <x v="588"/>
    <x v="0"/>
    <x v="0"/>
    <x v="6"/>
    <x v="14"/>
    <x v="0"/>
    <x v="0"/>
    <x v="538"/>
    <x v="0"/>
    <x v="0"/>
    <x v="72"/>
    <x v="0"/>
    <x v="0"/>
  </r>
  <r>
    <x v="589"/>
    <x v="589"/>
    <x v="0"/>
    <x v="6"/>
    <x v="2"/>
    <x v="13"/>
    <x v="3"/>
    <x v="0"/>
    <x v="539"/>
    <x v="0"/>
    <x v="0"/>
    <x v="84"/>
    <x v="0"/>
    <x v="1"/>
  </r>
  <r>
    <x v="590"/>
    <x v="590"/>
    <x v="1"/>
    <x v="0"/>
    <x v="3"/>
    <x v="4"/>
    <x v="2"/>
    <x v="0"/>
    <x v="69"/>
    <x v="0"/>
    <x v="0"/>
    <x v="120"/>
    <x v="0"/>
    <x v="0"/>
  </r>
  <r>
    <x v="591"/>
    <x v="591"/>
    <x v="0"/>
    <x v="4"/>
    <x v="1"/>
    <x v="1"/>
    <x v="1"/>
    <x v="0"/>
    <x v="540"/>
    <x v="0"/>
    <x v="0"/>
    <x v="253"/>
    <x v="0"/>
    <x v="0"/>
  </r>
  <r>
    <x v="592"/>
    <x v="592"/>
    <x v="1"/>
    <x v="1"/>
    <x v="3"/>
    <x v="6"/>
    <x v="0"/>
    <x v="0"/>
    <x v="541"/>
    <x v="0"/>
    <x v="0"/>
    <x v="153"/>
    <x v="0"/>
    <x v="1"/>
  </r>
  <r>
    <x v="593"/>
    <x v="593"/>
    <x v="1"/>
    <x v="1"/>
    <x v="2"/>
    <x v="13"/>
    <x v="3"/>
    <x v="0"/>
    <x v="542"/>
    <x v="0"/>
    <x v="0"/>
    <x v="149"/>
    <x v="0"/>
    <x v="0"/>
  </r>
  <r>
    <x v="594"/>
    <x v="594"/>
    <x v="0"/>
    <x v="2"/>
    <x v="5"/>
    <x v="8"/>
    <x v="1"/>
    <x v="0"/>
    <x v="543"/>
    <x v="0"/>
    <x v="0"/>
    <x v="100"/>
    <x v="0"/>
    <x v="0"/>
  </r>
  <r>
    <x v="595"/>
    <x v="595"/>
    <x v="0"/>
    <x v="3"/>
    <x v="6"/>
    <x v="9"/>
    <x v="3"/>
    <x v="0"/>
    <x v="544"/>
    <x v="0"/>
    <x v="0"/>
    <x v="187"/>
    <x v="0"/>
    <x v="1"/>
  </r>
  <r>
    <x v="596"/>
    <x v="596"/>
    <x v="1"/>
    <x v="7"/>
    <x v="2"/>
    <x v="19"/>
    <x v="2"/>
    <x v="0"/>
    <x v="545"/>
    <x v="116"/>
    <x v="1"/>
    <x v="107"/>
    <x v="1"/>
    <x v="0"/>
  </r>
  <r>
    <x v="597"/>
    <x v="597"/>
    <x v="0"/>
    <x v="2"/>
    <x v="6"/>
    <x v="14"/>
    <x v="1"/>
    <x v="0"/>
    <x v="218"/>
    <x v="0"/>
    <x v="0"/>
    <x v="71"/>
    <x v="3"/>
    <x v="0"/>
  </r>
  <r>
    <x v="598"/>
    <x v="598"/>
    <x v="0"/>
    <x v="4"/>
    <x v="4"/>
    <x v="20"/>
    <x v="3"/>
    <x v="1"/>
    <x v="546"/>
    <x v="117"/>
    <x v="1"/>
    <x v="30"/>
    <x v="1"/>
    <x v="1"/>
  </r>
  <r>
    <x v="599"/>
    <x v="599"/>
    <x v="0"/>
    <x v="0"/>
    <x v="5"/>
    <x v="12"/>
    <x v="3"/>
    <x v="0"/>
    <x v="547"/>
    <x v="0"/>
    <x v="0"/>
    <x v="7"/>
    <x v="1"/>
    <x v="0"/>
  </r>
  <r>
    <x v="600"/>
    <x v="600"/>
    <x v="0"/>
    <x v="6"/>
    <x v="2"/>
    <x v="13"/>
    <x v="2"/>
    <x v="1"/>
    <x v="512"/>
    <x v="118"/>
    <x v="1"/>
    <x v="173"/>
    <x v="1"/>
    <x v="0"/>
  </r>
  <r>
    <x v="601"/>
    <x v="601"/>
    <x v="0"/>
    <x v="7"/>
    <x v="0"/>
    <x v="3"/>
    <x v="2"/>
    <x v="0"/>
    <x v="548"/>
    <x v="119"/>
    <x v="1"/>
    <x v="305"/>
    <x v="2"/>
    <x v="0"/>
  </r>
  <r>
    <x v="602"/>
    <x v="602"/>
    <x v="0"/>
    <x v="1"/>
    <x v="6"/>
    <x v="14"/>
    <x v="3"/>
    <x v="0"/>
    <x v="549"/>
    <x v="0"/>
    <x v="0"/>
    <x v="306"/>
    <x v="1"/>
    <x v="1"/>
  </r>
  <r>
    <x v="603"/>
    <x v="603"/>
    <x v="1"/>
    <x v="0"/>
    <x v="5"/>
    <x v="16"/>
    <x v="2"/>
    <x v="0"/>
    <x v="550"/>
    <x v="120"/>
    <x v="1"/>
    <x v="307"/>
    <x v="2"/>
    <x v="0"/>
  </r>
  <r>
    <x v="604"/>
    <x v="604"/>
    <x v="0"/>
    <x v="6"/>
    <x v="5"/>
    <x v="8"/>
    <x v="1"/>
    <x v="2"/>
    <x v="551"/>
    <x v="0"/>
    <x v="0"/>
    <x v="110"/>
    <x v="0"/>
    <x v="1"/>
  </r>
  <r>
    <x v="605"/>
    <x v="605"/>
    <x v="0"/>
    <x v="6"/>
    <x v="6"/>
    <x v="14"/>
    <x v="0"/>
    <x v="0"/>
    <x v="552"/>
    <x v="0"/>
    <x v="0"/>
    <x v="183"/>
    <x v="1"/>
    <x v="0"/>
  </r>
  <r>
    <x v="606"/>
    <x v="606"/>
    <x v="0"/>
    <x v="0"/>
    <x v="6"/>
    <x v="9"/>
    <x v="1"/>
    <x v="0"/>
    <x v="164"/>
    <x v="0"/>
    <x v="0"/>
    <x v="35"/>
    <x v="3"/>
    <x v="0"/>
  </r>
  <r>
    <x v="607"/>
    <x v="607"/>
    <x v="1"/>
    <x v="3"/>
    <x v="0"/>
    <x v="0"/>
    <x v="2"/>
    <x v="0"/>
    <x v="213"/>
    <x v="0"/>
    <x v="0"/>
    <x v="308"/>
    <x v="2"/>
    <x v="0"/>
  </r>
  <r>
    <x v="608"/>
    <x v="608"/>
    <x v="0"/>
    <x v="7"/>
    <x v="0"/>
    <x v="11"/>
    <x v="2"/>
    <x v="0"/>
    <x v="553"/>
    <x v="121"/>
    <x v="1"/>
    <x v="282"/>
    <x v="1"/>
    <x v="1"/>
  </r>
  <r>
    <x v="609"/>
    <x v="609"/>
    <x v="1"/>
    <x v="0"/>
    <x v="6"/>
    <x v="9"/>
    <x v="2"/>
    <x v="0"/>
    <x v="554"/>
    <x v="0"/>
    <x v="0"/>
    <x v="309"/>
    <x v="1"/>
    <x v="0"/>
  </r>
  <r>
    <x v="610"/>
    <x v="610"/>
    <x v="1"/>
    <x v="5"/>
    <x v="5"/>
    <x v="16"/>
    <x v="1"/>
    <x v="0"/>
    <x v="555"/>
    <x v="0"/>
    <x v="0"/>
    <x v="18"/>
    <x v="1"/>
    <x v="1"/>
  </r>
  <r>
    <x v="611"/>
    <x v="611"/>
    <x v="1"/>
    <x v="2"/>
    <x v="5"/>
    <x v="8"/>
    <x v="3"/>
    <x v="0"/>
    <x v="160"/>
    <x v="0"/>
    <x v="0"/>
    <x v="28"/>
    <x v="1"/>
    <x v="0"/>
  </r>
  <r>
    <x v="612"/>
    <x v="612"/>
    <x v="0"/>
    <x v="7"/>
    <x v="4"/>
    <x v="17"/>
    <x v="0"/>
    <x v="0"/>
    <x v="556"/>
    <x v="0"/>
    <x v="0"/>
    <x v="295"/>
    <x v="1"/>
    <x v="0"/>
  </r>
  <r>
    <x v="613"/>
    <x v="613"/>
    <x v="0"/>
    <x v="5"/>
    <x v="5"/>
    <x v="16"/>
    <x v="3"/>
    <x v="0"/>
    <x v="557"/>
    <x v="0"/>
    <x v="0"/>
    <x v="205"/>
    <x v="2"/>
    <x v="1"/>
  </r>
  <r>
    <x v="614"/>
    <x v="614"/>
    <x v="0"/>
    <x v="5"/>
    <x v="2"/>
    <x v="19"/>
    <x v="3"/>
    <x v="1"/>
    <x v="449"/>
    <x v="0"/>
    <x v="0"/>
    <x v="224"/>
    <x v="0"/>
    <x v="0"/>
  </r>
  <r>
    <x v="615"/>
    <x v="615"/>
    <x v="0"/>
    <x v="5"/>
    <x v="5"/>
    <x v="12"/>
    <x v="3"/>
    <x v="0"/>
    <x v="558"/>
    <x v="0"/>
    <x v="0"/>
    <x v="1"/>
    <x v="1"/>
    <x v="0"/>
  </r>
  <r>
    <x v="616"/>
    <x v="616"/>
    <x v="1"/>
    <x v="2"/>
    <x v="1"/>
    <x v="7"/>
    <x v="1"/>
    <x v="0"/>
    <x v="559"/>
    <x v="122"/>
    <x v="1"/>
    <x v="209"/>
    <x v="1"/>
    <x v="0"/>
  </r>
  <r>
    <x v="617"/>
    <x v="617"/>
    <x v="1"/>
    <x v="3"/>
    <x v="4"/>
    <x v="17"/>
    <x v="2"/>
    <x v="0"/>
    <x v="560"/>
    <x v="0"/>
    <x v="0"/>
    <x v="94"/>
    <x v="1"/>
    <x v="0"/>
  </r>
  <r>
    <x v="618"/>
    <x v="618"/>
    <x v="1"/>
    <x v="7"/>
    <x v="3"/>
    <x v="18"/>
    <x v="1"/>
    <x v="0"/>
    <x v="561"/>
    <x v="123"/>
    <x v="1"/>
    <x v="127"/>
    <x v="3"/>
    <x v="0"/>
  </r>
  <r>
    <x v="619"/>
    <x v="619"/>
    <x v="1"/>
    <x v="5"/>
    <x v="6"/>
    <x v="14"/>
    <x v="2"/>
    <x v="0"/>
    <x v="358"/>
    <x v="0"/>
    <x v="0"/>
    <x v="181"/>
    <x v="1"/>
    <x v="0"/>
  </r>
  <r>
    <x v="620"/>
    <x v="620"/>
    <x v="0"/>
    <x v="5"/>
    <x v="2"/>
    <x v="2"/>
    <x v="2"/>
    <x v="0"/>
    <x v="199"/>
    <x v="0"/>
    <x v="0"/>
    <x v="158"/>
    <x v="1"/>
    <x v="1"/>
  </r>
  <r>
    <x v="621"/>
    <x v="621"/>
    <x v="1"/>
    <x v="4"/>
    <x v="5"/>
    <x v="16"/>
    <x v="2"/>
    <x v="0"/>
    <x v="562"/>
    <x v="0"/>
    <x v="0"/>
    <x v="286"/>
    <x v="2"/>
    <x v="0"/>
  </r>
  <r>
    <x v="622"/>
    <x v="622"/>
    <x v="0"/>
    <x v="5"/>
    <x v="5"/>
    <x v="8"/>
    <x v="3"/>
    <x v="0"/>
    <x v="563"/>
    <x v="5"/>
    <x v="1"/>
    <x v="113"/>
    <x v="2"/>
    <x v="1"/>
  </r>
  <r>
    <x v="623"/>
    <x v="623"/>
    <x v="0"/>
    <x v="6"/>
    <x v="6"/>
    <x v="14"/>
    <x v="1"/>
    <x v="0"/>
    <x v="564"/>
    <x v="0"/>
    <x v="0"/>
    <x v="71"/>
    <x v="0"/>
    <x v="0"/>
  </r>
  <r>
    <x v="624"/>
    <x v="624"/>
    <x v="0"/>
    <x v="3"/>
    <x v="1"/>
    <x v="10"/>
    <x v="3"/>
    <x v="1"/>
    <x v="565"/>
    <x v="0"/>
    <x v="0"/>
    <x v="264"/>
    <x v="2"/>
    <x v="0"/>
  </r>
  <r>
    <x v="625"/>
    <x v="625"/>
    <x v="1"/>
    <x v="2"/>
    <x v="5"/>
    <x v="12"/>
    <x v="2"/>
    <x v="1"/>
    <x v="566"/>
    <x v="0"/>
    <x v="0"/>
    <x v="84"/>
    <x v="3"/>
    <x v="0"/>
  </r>
  <r>
    <x v="626"/>
    <x v="626"/>
    <x v="1"/>
    <x v="4"/>
    <x v="5"/>
    <x v="16"/>
    <x v="1"/>
    <x v="0"/>
    <x v="567"/>
    <x v="0"/>
    <x v="0"/>
    <x v="176"/>
    <x v="3"/>
    <x v="0"/>
  </r>
  <r>
    <x v="627"/>
    <x v="627"/>
    <x v="1"/>
    <x v="1"/>
    <x v="0"/>
    <x v="11"/>
    <x v="1"/>
    <x v="0"/>
    <x v="568"/>
    <x v="0"/>
    <x v="0"/>
    <x v="310"/>
    <x v="0"/>
    <x v="1"/>
  </r>
  <r>
    <x v="628"/>
    <x v="628"/>
    <x v="0"/>
    <x v="5"/>
    <x v="6"/>
    <x v="14"/>
    <x v="1"/>
    <x v="0"/>
    <x v="569"/>
    <x v="0"/>
    <x v="0"/>
    <x v="304"/>
    <x v="0"/>
    <x v="0"/>
  </r>
  <r>
    <x v="629"/>
    <x v="629"/>
    <x v="0"/>
    <x v="6"/>
    <x v="6"/>
    <x v="9"/>
    <x v="0"/>
    <x v="1"/>
    <x v="570"/>
    <x v="0"/>
    <x v="0"/>
    <x v="311"/>
    <x v="1"/>
    <x v="1"/>
  </r>
  <r>
    <x v="630"/>
    <x v="630"/>
    <x v="1"/>
    <x v="1"/>
    <x v="3"/>
    <x v="4"/>
    <x v="0"/>
    <x v="0"/>
    <x v="571"/>
    <x v="0"/>
    <x v="0"/>
    <x v="101"/>
    <x v="2"/>
    <x v="1"/>
  </r>
  <r>
    <x v="631"/>
    <x v="631"/>
    <x v="0"/>
    <x v="0"/>
    <x v="1"/>
    <x v="7"/>
    <x v="1"/>
    <x v="1"/>
    <x v="83"/>
    <x v="0"/>
    <x v="0"/>
    <x v="241"/>
    <x v="1"/>
    <x v="0"/>
  </r>
  <r>
    <x v="632"/>
    <x v="632"/>
    <x v="0"/>
    <x v="5"/>
    <x v="6"/>
    <x v="9"/>
    <x v="3"/>
    <x v="0"/>
    <x v="572"/>
    <x v="0"/>
    <x v="0"/>
    <x v="204"/>
    <x v="1"/>
    <x v="0"/>
  </r>
  <r>
    <x v="633"/>
    <x v="633"/>
    <x v="0"/>
    <x v="5"/>
    <x v="6"/>
    <x v="9"/>
    <x v="3"/>
    <x v="0"/>
    <x v="573"/>
    <x v="0"/>
    <x v="0"/>
    <x v="71"/>
    <x v="3"/>
    <x v="0"/>
  </r>
  <r>
    <x v="634"/>
    <x v="634"/>
    <x v="0"/>
    <x v="3"/>
    <x v="6"/>
    <x v="15"/>
    <x v="3"/>
    <x v="0"/>
    <x v="574"/>
    <x v="0"/>
    <x v="0"/>
    <x v="265"/>
    <x v="0"/>
    <x v="0"/>
  </r>
  <r>
    <x v="635"/>
    <x v="635"/>
    <x v="1"/>
    <x v="0"/>
    <x v="5"/>
    <x v="12"/>
    <x v="2"/>
    <x v="0"/>
    <x v="575"/>
    <x v="0"/>
    <x v="0"/>
    <x v="312"/>
    <x v="3"/>
    <x v="0"/>
  </r>
  <r>
    <x v="636"/>
    <x v="636"/>
    <x v="0"/>
    <x v="5"/>
    <x v="3"/>
    <x v="18"/>
    <x v="2"/>
    <x v="0"/>
    <x v="576"/>
    <x v="0"/>
    <x v="0"/>
    <x v="100"/>
    <x v="1"/>
    <x v="0"/>
  </r>
  <r>
    <x v="637"/>
    <x v="637"/>
    <x v="0"/>
    <x v="3"/>
    <x v="6"/>
    <x v="9"/>
    <x v="2"/>
    <x v="1"/>
    <x v="421"/>
    <x v="0"/>
    <x v="0"/>
    <x v="170"/>
    <x v="0"/>
    <x v="0"/>
  </r>
  <r>
    <x v="638"/>
    <x v="638"/>
    <x v="1"/>
    <x v="6"/>
    <x v="5"/>
    <x v="16"/>
    <x v="0"/>
    <x v="0"/>
    <x v="577"/>
    <x v="0"/>
    <x v="0"/>
    <x v="210"/>
    <x v="0"/>
    <x v="0"/>
  </r>
  <r>
    <x v="639"/>
    <x v="639"/>
    <x v="1"/>
    <x v="4"/>
    <x v="2"/>
    <x v="19"/>
    <x v="0"/>
    <x v="0"/>
    <x v="578"/>
    <x v="0"/>
    <x v="0"/>
    <x v="297"/>
    <x v="3"/>
    <x v="0"/>
  </r>
  <r>
    <x v="640"/>
    <x v="640"/>
    <x v="0"/>
    <x v="2"/>
    <x v="6"/>
    <x v="14"/>
    <x v="1"/>
    <x v="0"/>
    <x v="579"/>
    <x v="0"/>
    <x v="0"/>
    <x v="313"/>
    <x v="1"/>
    <x v="1"/>
  </r>
  <r>
    <x v="641"/>
    <x v="641"/>
    <x v="1"/>
    <x v="4"/>
    <x v="0"/>
    <x v="11"/>
    <x v="0"/>
    <x v="0"/>
    <x v="580"/>
    <x v="0"/>
    <x v="0"/>
    <x v="314"/>
    <x v="0"/>
    <x v="1"/>
  </r>
  <r>
    <x v="642"/>
    <x v="642"/>
    <x v="0"/>
    <x v="2"/>
    <x v="0"/>
    <x v="0"/>
    <x v="3"/>
    <x v="0"/>
    <x v="581"/>
    <x v="0"/>
    <x v="0"/>
    <x v="315"/>
    <x v="0"/>
    <x v="1"/>
  </r>
  <r>
    <x v="643"/>
    <x v="643"/>
    <x v="1"/>
    <x v="0"/>
    <x v="3"/>
    <x v="18"/>
    <x v="3"/>
    <x v="0"/>
    <x v="582"/>
    <x v="124"/>
    <x v="1"/>
    <x v="316"/>
    <x v="1"/>
    <x v="0"/>
  </r>
  <r>
    <x v="644"/>
    <x v="644"/>
    <x v="0"/>
    <x v="2"/>
    <x v="2"/>
    <x v="19"/>
    <x v="0"/>
    <x v="0"/>
    <x v="583"/>
    <x v="0"/>
    <x v="0"/>
    <x v="212"/>
    <x v="0"/>
    <x v="1"/>
  </r>
  <r>
    <x v="645"/>
    <x v="645"/>
    <x v="0"/>
    <x v="6"/>
    <x v="6"/>
    <x v="15"/>
    <x v="2"/>
    <x v="0"/>
    <x v="584"/>
    <x v="0"/>
    <x v="0"/>
    <x v="291"/>
    <x v="3"/>
    <x v="0"/>
  </r>
  <r>
    <x v="646"/>
    <x v="646"/>
    <x v="1"/>
    <x v="3"/>
    <x v="5"/>
    <x v="8"/>
    <x v="1"/>
    <x v="0"/>
    <x v="238"/>
    <x v="0"/>
    <x v="0"/>
    <x v="20"/>
    <x v="1"/>
    <x v="0"/>
  </r>
  <r>
    <x v="647"/>
    <x v="647"/>
    <x v="1"/>
    <x v="5"/>
    <x v="3"/>
    <x v="6"/>
    <x v="1"/>
    <x v="0"/>
    <x v="585"/>
    <x v="0"/>
    <x v="0"/>
    <x v="242"/>
    <x v="1"/>
    <x v="0"/>
  </r>
  <r>
    <x v="648"/>
    <x v="648"/>
    <x v="1"/>
    <x v="5"/>
    <x v="3"/>
    <x v="6"/>
    <x v="1"/>
    <x v="0"/>
    <x v="586"/>
    <x v="125"/>
    <x v="1"/>
    <x v="111"/>
    <x v="0"/>
    <x v="0"/>
  </r>
  <r>
    <x v="649"/>
    <x v="649"/>
    <x v="0"/>
    <x v="3"/>
    <x v="0"/>
    <x v="3"/>
    <x v="1"/>
    <x v="0"/>
    <x v="94"/>
    <x v="126"/>
    <x v="1"/>
    <x v="25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6" firstHeaderRow="1" firstDataRow="1" firstDataCol="1"/>
  <pivotFields count="14">
    <pivotField dataField="1"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Employee count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8:B16" firstHeaderRow="1" firstDataRow="1" firstDataCol="1"/>
  <pivotFields count="14">
    <pivotField dataField="1"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axis="axisRow"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4:H17" firstHeaderRow="1" firstDataRow="1" firstDataCol="1"/>
  <pivotFields count="14">
    <pivotField dataField="1"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Employee count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3:E11" firstHeaderRow="1" firstDataRow="1" firstDataCol="1"/>
  <pivotFields count="14"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axis="axisRow"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onthly_Salary_INR" fld="11" subtotal="average" baseField="0" baseItem="0"/>
  </dataFields>
  <formats count="11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grandRow="1" outline="0" collapsedLevelsAreSubtotals="1" fieldPosition="0"/>
    </format>
    <format dxfId="10">
      <pivotArea fieldPosition="0">
        <references count="1">
          <reference field="4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13:E21" firstHeaderRow="1" firstDataRow="1" firstDataCol="1"/>
  <pivotFields count="14"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axis="axisRow"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dataField="1"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Job_Satisfaction_1to5" fld="12" subtotal="average" baseField="0" baseItem="0"/>
  </dataFields>
  <formats count="8"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8:B21" firstHeaderRow="1" firstDataRow="1" firstDataCol="1"/>
  <pivotFields count="14">
    <pivotField dataField="1"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6"/>
        <item x="5"/>
        <item x="1"/>
        <item x="7"/>
        <item x="2"/>
        <item x="0"/>
        <item x="4"/>
        <item x="3"/>
        <item t="default"/>
      </items>
    </pivotField>
    <pivotField compact="0" showAll="0">
      <items count="8">
        <item x="3"/>
        <item x="1"/>
        <item x="4"/>
        <item x="0"/>
        <item x="2"/>
        <item x="6"/>
        <item x="5"/>
        <item t="default"/>
      </items>
    </pivotField>
    <pivotField compact="0" showAll="0">
      <items count="22">
        <item x="12"/>
        <item x="7"/>
        <item x="3"/>
        <item x="13"/>
        <item x="1"/>
        <item x="10"/>
        <item x="20"/>
        <item x="17"/>
        <item x="0"/>
        <item x="19"/>
        <item x="2"/>
        <item x="15"/>
        <item x="14"/>
        <item x="4"/>
        <item x="5"/>
        <item x="16"/>
        <item x="8"/>
        <item x="18"/>
        <item x="11"/>
        <item x="6"/>
        <item x="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85" showAll="0">
      <items count="588">
        <item x="318"/>
        <item x="400"/>
        <item x="517"/>
        <item x="432"/>
        <item x="258"/>
        <item x="32"/>
        <item x="268"/>
        <item x="187"/>
        <item x="206"/>
        <item x="425"/>
        <item x="356"/>
        <item x="445"/>
        <item x="8"/>
        <item x="436"/>
        <item x="195"/>
        <item x="523"/>
        <item x="0"/>
        <item x="249"/>
        <item x="506"/>
        <item x="47"/>
        <item x="466"/>
        <item x="212"/>
        <item x="125"/>
        <item x="186"/>
        <item x="338"/>
        <item x="495"/>
        <item x="122"/>
        <item x="540"/>
        <item x="231"/>
        <item x="386"/>
        <item x="542"/>
        <item x="200"/>
        <item x="234"/>
        <item x="103"/>
        <item x="395"/>
        <item x="341"/>
        <item x="420"/>
        <item x="211"/>
        <item x="83"/>
        <item x="45"/>
        <item x="508"/>
        <item x="175"/>
        <item x="300"/>
        <item x="20"/>
        <item x="82"/>
        <item x="63"/>
        <item x="91"/>
        <item x="385"/>
        <item x="280"/>
        <item x="138"/>
        <item x="168"/>
        <item x="330"/>
        <item x="150"/>
        <item x="541"/>
        <item x="40"/>
        <item x="434"/>
        <item x="325"/>
        <item x="281"/>
        <item x="469"/>
        <item x="271"/>
        <item x="377"/>
        <item x="305"/>
        <item x="390"/>
        <item x="501"/>
        <item x="493"/>
        <item x="526"/>
        <item x="481"/>
        <item x="242"/>
        <item x="401"/>
        <item x="174"/>
        <item x="551"/>
        <item x="534"/>
        <item x="53"/>
        <item x="512"/>
        <item x="272"/>
        <item x="126"/>
        <item x="39"/>
        <item x="57"/>
        <item x="137"/>
        <item x="184"/>
        <item x="536"/>
        <item x="533"/>
        <item x="316"/>
        <item x="475"/>
        <item x="274"/>
        <item x="263"/>
        <item x="275"/>
        <item x="392"/>
        <item x="165"/>
        <item x="428"/>
        <item x="418"/>
        <item x="14"/>
        <item x="162"/>
        <item x="217"/>
        <item x="157"/>
        <item x="477"/>
        <item x="336"/>
        <item x="156"/>
        <item x="545"/>
        <item x="90"/>
        <item x="115"/>
        <item x="553"/>
        <item x="207"/>
        <item x="362"/>
        <item x="339"/>
        <item x="498"/>
        <item x="327"/>
        <item x="439"/>
        <item x="85"/>
        <item x="132"/>
        <item x="315"/>
        <item x="277"/>
        <item x="87"/>
        <item x="161"/>
        <item x="134"/>
        <item x="236"/>
        <item x="419"/>
        <item x="56"/>
        <item x="384"/>
        <item x="402"/>
        <item x="310"/>
        <item x="524"/>
        <item x="167"/>
        <item x="239"/>
        <item x="288"/>
        <item x="586"/>
        <item x="158"/>
        <item x="505"/>
        <item x="77"/>
        <item x="146"/>
        <item x="410"/>
        <item x="340"/>
        <item x="521"/>
        <item x="216"/>
        <item x="78"/>
        <item x="294"/>
        <item x="585"/>
        <item x="457"/>
        <item x="332"/>
        <item x="491"/>
        <item x="468"/>
        <item x="470"/>
        <item x="251"/>
        <item x="278"/>
        <item x="484"/>
        <item x="431"/>
        <item x="50"/>
        <item x="155"/>
        <item x="58"/>
        <item x="543"/>
        <item x="55"/>
        <item x="301"/>
        <item x="354"/>
        <item x="581"/>
        <item x="2"/>
        <item x="284"/>
        <item x="365"/>
        <item x="149"/>
        <item x="462"/>
        <item x="393"/>
        <item x="496"/>
        <item x="171"/>
        <item x="5"/>
        <item x="24"/>
        <item x="283"/>
        <item x="41"/>
        <item x="568"/>
        <item x="357"/>
        <item x="441"/>
        <item x="245"/>
        <item x="446"/>
        <item x="84"/>
        <item x="119"/>
        <item x="19"/>
        <item x="554"/>
        <item x="516"/>
        <item x="131"/>
        <item x="529"/>
        <item x="147"/>
        <item x="49"/>
        <item x="366"/>
        <item x="544"/>
        <item x="396"/>
        <item x="44"/>
        <item x="472"/>
        <item x="465"/>
        <item x="494"/>
        <item x="295"/>
        <item x="502"/>
        <item x="334"/>
        <item x="31"/>
        <item x="443"/>
        <item x="124"/>
        <item x="36"/>
        <item x="259"/>
        <item x="547"/>
        <item x="133"/>
        <item x="86"/>
        <item x="304"/>
        <item x="219"/>
        <item x="335"/>
        <item x="427"/>
        <item x="313"/>
        <item x="437"/>
        <item x="582"/>
        <item x="105"/>
        <item x="282"/>
        <item x="546"/>
        <item x="368"/>
        <item x="104"/>
        <item x="173"/>
        <item x="329"/>
        <item x="289"/>
        <item x="243"/>
        <item x="398"/>
        <item x="33"/>
        <item x="109"/>
        <item x="331"/>
        <item x="214"/>
        <item x="381"/>
        <item x="48"/>
        <item x="101"/>
        <item x="375"/>
        <item x="241"/>
        <item x="273"/>
        <item x="204"/>
        <item x="28"/>
        <item x="565"/>
        <item x="193"/>
        <item x="409"/>
        <item x="489"/>
        <item x="208"/>
        <item x="255"/>
        <item x="114"/>
        <item x="118"/>
        <item x="562"/>
        <item x="80"/>
        <item x="116"/>
        <item x="422"/>
        <item x="22"/>
        <item x="227"/>
        <item x="406"/>
        <item x="416"/>
        <item x="54"/>
        <item x="35"/>
        <item x="578"/>
        <item x="485"/>
        <item x="30"/>
        <item x="154"/>
        <item x="276"/>
        <item x="463"/>
        <item x="397"/>
        <item x="464"/>
        <item x="474"/>
        <item x="352"/>
        <item x="361"/>
        <item x="307"/>
        <item x="291"/>
        <item x="290"/>
        <item x="584"/>
        <item x="52"/>
        <item x="421"/>
        <item x="575"/>
        <item x="486"/>
        <item x="79"/>
        <item x="26"/>
        <item x="46"/>
        <item x="229"/>
        <item x="110"/>
        <item x="10"/>
        <item x="414"/>
        <item x="75"/>
        <item x="238"/>
        <item x="447"/>
        <item x="27"/>
        <item x="97"/>
        <item x="369"/>
        <item x="571"/>
        <item x="442"/>
        <item x="480"/>
        <item x="199"/>
        <item x="67"/>
        <item x="225"/>
        <item x="394"/>
        <item x="64"/>
        <item x="144"/>
        <item x="348"/>
        <item x="196"/>
        <item x="549"/>
        <item x="107"/>
        <item x="576"/>
        <item x="178"/>
        <item x="426"/>
        <item x="411"/>
        <item x="364"/>
        <item x="555"/>
        <item x="81"/>
        <item x="415"/>
        <item x="532"/>
        <item x="172"/>
        <item x="525"/>
        <item x="520"/>
        <item x="319"/>
        <item x="246"/>
        <item x="350"/>
        <item x="218"/>
        <item x="424"/>
        <item x="89"/>
        <item x="535"/>
        <item x="323"/>
        <item x="527"/>
        <item x="192"/>
        <item x="452"/>
        <item x="459"/>
        <item x="371"/>
        <item x="51"/>
        <item x="552"/>
        <item x="500"/>
        <item x="65"/>
        <item x="566"/>
        <item x="29"/>
        <item x="412"/>
        <item x="257"/>
        <item x="264"/>
        <item x="297"/>
        <item x="531"/>
        <item x="100"/>
        <item x="556"/>
        <item x="15"/>
        <item x="209"/>
        <item x="70"/>
        <item x="248"/>
        <item x="285"/>
        <item x="479"/>
        <item x="265"/>
        <item x="95"/>
        <item x="511"/>
        <item x="483"/>
        <item x="96"/>
        <item x="487"/>
        <item x="317"/>
        <item x="160"/>
        <item x="557"/>
        <item x="492"/>
        <item x="267"/>
        <item x="72"/>
        <item x="574"/>
        <item x="106"/>
        <item x="108"/>
        <item x="333"/>
        <item x="373"/>
        <item x="458"/>
        <item x="455"/>
        <item x="450"/>
        <item x="321"/>
        <item x="4"/>
        <item x="349"/>
        <item x="488"/>
        <item x="298"/>
        <item x="538"/>
        <item x="233"/>
        <item x="37"/>
        <item x="244"/>
        <item x="181"/>
        <item x="164"/>
        <item x="292"/>
        <item x="152"/>
        <item x="380"/>
        <item x="389"/>
        <item x="189"/>
        <item x="387"/>
        <item x="440"/>
        <item x="148"/>
        <item x="372"/>
        <item x="163"/>
        <item x="6"/>
        <item x="560"/>
        <item x="461"/>
        <item x="262"/>
        <item x="232"/>
        <item x="76"/>
        <item x="224"/>
        <item x="180"/>
        <item x="550"/>
        <item x="185"/>
        <item x="17"/>
        <item x="279"/>
        <item x="159"/>
        <item x="226"/>
        <item x="530"/>
        <item x="201"/>
        <item x="299"/>
        <item x="473"/>
        <item x="74"/>
        <item x="1"/>
        <item x="376"/>
        <item x="370"/>
        <item x="567"/>
        <item x="139"/>
        <item x="326"/>
        <item x="183"/>
        <item x="117"/>
        <item x="451"/>
        <item x="405"/>
        <item x="94"/>
        <item x="360"/>
        <item x="471"/>
        <item x="136"/>
        <item x="417"/>
        <item x="548"/>
        <item x="62"/>
        <item x="112"/>
        <item x="198"/>
        <item x="391"/>
        <item x="102"/>
        <item x="113"/>
        <item x="61"/>
        <item x="518"/>
        <item x="270"/>
        <item x="448"/>
        <item x="7"/>
        <item x="537"/>
        <item x="230"/>
        <item x="510"/>
        <item x="142"/>
        <item x="253"/>
        <item x="346"/>
        <item x="314"/>
        <item x="73"/>
        <item x="121"/>
        <item x="573"/>
        <item x="388"/>
        <item x="247"/>
        <item x="130"/>
        <item x="179"/>
        <item x="129"/>
        <item x="190"/>
        <item x="404"/>
        <item x="59"/>
        <item x="260"/>
        <item x="16"/>
        <item x="143"/>
        <item x="320"/>
        <item x="205"/>
        <item x="490"/>
        <item x="93"/>
        <item x="43"/>
        <item x="141"/>
        <item x="454"/>
        <item x="345"/>
        <item x="378"/>
        <item x="308"/>
        <item x="528"/>
        <item x="507"/>
        <item x="522"/>
        <item x="351"/>
        <item x="322"/>
        <item x="12"/>
        <item x="296"/>
        <item x="252"/>
        <item x="561"/>
        <item x="9"/>
        <item x="311"/>
        <item x="519"/>
        <item x="342"/>
        <item x="482"/>
        <item x="503"/>
        <item x="123"/>
        <item x="170"/>
        <item x="355"/>
        <item x="34"/>
        <item x="99"/>
        <item x="344"/>
        <item x="324"/>
        <item x="358"/>
        <item x="127"/>
        <item x="42"/>
        <item x="92"/>
        <item x="302"/>
        <item x="197"/>
        <item x="210"/>
        <item x="293"/>
        <item x="413"/>
        <item x="435"/>
        <item x="379"/>
        <item x="88"/>
        <item x="266"/>
        <item x="256"/>
        <item x="407"/>
        <item x="25"/>
        <item x="497"/>
        <item x="71"/>
        <item x="460"/>
        <item x="577"/>
        <item x="312"/>
        <item x="363"/>
        <item x="509"/>
        <item x="309"/>
        <item x="128"/>
        <item x="478"/>
        <item x="328"/>
        <item x="403"/>
        <item x="194"/>
        <item x="572"/>
        <item x="444"/>
        <item x="11"/>
        <item x="408"/>
        <item x="515"/>
        <item x="135"/>
        <item x="287"/>
        <item x="539"/>
        <item x="429"/>
        <item x="182"/>
        <item x="240"/>
        <item x="382"/>
        <item x="68"/>
        <item x="569"/>
        <item x="383"/>
        <item x="188"/>
        <item x="235"/>
        <item x="250"/>
        <item x="499"/>
        <item x="399"/>
        <item x="433"/>
        <item x="337"/>
        <item x="563"/>
        <item x="66"/>
        <item x="213"/>
        <item x="13"/>
        <item x="140"/>
        <item x="269"/>
        <item x="261"/>
        <item x="18"/>
        <item x="467"/>
        <item x="353"/>
        <item x="423"/>
        <item x="579"/>
        <item x="343"/>
        <item x="38"/>
        <item x="166"/>
        <item x="153"/>
        <item x="438"/>
        <item x="453"/>
        <item x="347"/>
        <item x="303"/>
        <item x="223"/>
        <item x="151"/>
        <item x="513"/>
        <item x="228"/>
        <item x="21"/>
        <item x="176"/>
        <item x="286"/>
        <item x="254"/>
        <item x="111"/>
        <item x="570"/>
        <item x="221"/>
        <item x="23"/>
        <item x="514"/>
        <item x="559"/>
        <item x="237"/>
        <item x="98"/>
        <item x="476"/>
        <item x="306"/>
        <item x="177"/>
        <item x="220"/>
        <item x="169"/>
        <item x="3"/>
        <item x="215"/>
        <item x="202"/>
        <item x="69"/>
        <item x="558"/>
        <item x="60"/>
        <item x="203"/>
        <item x="564"/>
        <item x="430"/>
        <item x="120"/>
        <item x="504"/>
        <item x="222"/>
        <item x="145"/>
        <item x="583"/>
        <item x="359"/>
        <item x="580"/>
        <item x="374"/>
        <item x="191"/>
        <item x="456"/>
        <item x="367"/>
        <item x="449"/>
        <item t="default"/>
      </items>
    </pivotField>
    <pivotField compact="0" showAll="0">
      <items count="128">
        <item x="34"/>
        <item x="64"/>
        <item x="32"/>
        <item x="82"/>
        <item x="40"/>
        <item x="73"/>
        <item x="95"/>
        <item x="94"/>
        <item x="121"/>
        <item x="23"/>
        <item x="114"/>
        <item x="56"/>
        <item x="84"/>
        <item x="68"/>
        <item x="44"/>
        <item x="74"/>
        <item x="118"/>
        <item x="1"/>
        <item x="71"/>
        <item x="54"/>
        <item x="124"/>
        <item x="60"/>
        <item x="39"/>
        <item x="117"/>
        <item x="46"/>
        <item x="79"/>
        <item x="69"/>
        <item x="29"/>
        <item x="8"/>
        <item x="105"/>
        <item x="53"/>
        <item x="97"/>
        <item x="98"/>
        <item x="2"/>
        <item x="67"/>
        <item x="91"/>
        <item x="76"/>
        <item x="87"/>
        <item x="37"/>
        <item x="20"/>
        <item x="106"/>
        <item x="81"/>
        <item x="104"/>
        <item x="26"/>
        <item x="43"/>
        <item x="50"/>
        <item x="59"/>
        <item x="9"/>
        <item x="75"/>
        <item x="70"/>
        <item x="86"/>
        <item x="125"/>
        <item x="103"/>
        <item x="42"/>
        <item x="27"/>
        <item x="61"/>
        <item x="47"/>
        <item x="100"/>
        <item x="58"/>
        <item x="110"/>
        <item x="36"/>
        <item x="80"/>
        <item x="52"/>
        <item x="10"/>
        <item x="25"/>
        <item x="24"/>
        <item x="22"/>
        <item x="72"/>
        <item x="30"/>
        <item x="123"/>
        <item x="35"/>
        <item x="116"/>
        <item x="7"/>
        <item x="77"/>
        <item x="90"/>
        <item x="92"/>
        <item x="85"/>
        <item x="28"/>
        <item x="65"/>
        <item x="113"/>
        <item x="38"/>
        <item x="83"/>
        <item x="21"/>
        <item x="112"/>
        <item x="109"/>
        <item x="119"/>
        <item x="45"/>
        <item x="19"/>
        <item x="62"/>
        <item x="15"/>
        <item x="11"/>
        <item x="57"/>
        <item x="41"/>
        <item x="107"/>
        <item x="49"/>
        <item x="55"/>
        <item x="102"/>
        <item x="108"/>
        <item x="17"/>
        <item x="88"/>
        <item x="99"/>
        <item x="18"/>
        <item x="126"/>
        <item x="78"/>
        <item x="66"/>
        <item x="16"/>
        <item x="5"/>
        <item x="120"/>
        <item x="3"/>
        <item x="33"/>
        <item x="12"/>
        <item x="14"/>
        <item x="4"/>
        <item x="115"/>
        <item x="111"/>
        <item x="6"/>
        <item x="89"/>
        <item x="48"/>
        <item x="101"/>
        <item x="13"/>
        <item x="96"/>
        <item x="51"/>
        <item x="93"/>
        <item x="122"/>
        <item x="63"/>
        <item x="3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numFmtId="186" showAll="0">
      <items count="318">
        <item x="71"/>
        <item x="194"/>
        <item x="167"/>
        <item x="32"/>
        <item x="35"/>
        <item x="124"/>
        <item x="19"/>
        <item x="137"/>
        <item x="46"/>
        <item x="166"/>
        <item x="106"/>
        <item x="228"/>
        <item x="160"/>
        <item x="239"/>
        <item x="281"/>
        <item x="145"/>
        <item x="6"/>
        <item x="31"/>
        <item x="272"/>
        <item x="83"/>
        <item x="220"/>
        <item x="104"/>
        <item x="266"/>
        <item x="50"/>
        <item x="163"/>
        <item x="217"/>
        <item x="111"/>
        <item x="149"/>
        <item x="165"/>
        <item x="267"/>
        <item x="143"/>
        <item x="302"/>
        <item x="187"/>
        <item x="311"/>
        <item x="208"/>
        <item x="221"/>
        <item x="306"/>
        <item x="290"/>
        <item x="21"/>
        <item x="200"/>
        <item x="13"/>
        <item x="176"/>
        <item x="283"/>
        <item x="278"/>
        <item x="134"/>
        <item x="72"/>
        <item x="138"/>
        <item x="85"/>
        <item x="37"/>
        <item x="10"/>
        <item x="45"/>
        <item x="309"/>
        <item x="204"/>
        <item x="225"/>
        <item x="260"/>
        <item x="170"/>
        <item x="74"/>
        <item x="198"/>
        <item x="265"/>
        <item x="183"/>
        <item x="230"/>
        <item x="259"/>
        <item x="59"/>
        <item x="136"/>
        <item x="79"/>
        <item x="54"/>
        <item x="316"/>
        <item x="49"/>
        <item x="201"/>
        <item x="244"/>
        <item x="77"/>
        <item x="127"/>
        <item x="65"/>
        <item x="242"/>
        <item x="223"/>
        <item x="139"/>
        <item x="68"/>
        <item x="238"/>
        <item x="246"/>
        <item x="135"/>
        <item x="122"/>
        <item x="34"/>
        <item x="159"/>
        <item x="295"/>
        <item x="275"/>
        <item x="191"/>
        <item x="5"/>
        <item x="182"/>
        <item x="113"/>
        <item x="155"/>
        <item x="126"/>
        <item x="304"/>
        <item x="82"/>
        <item x="231"/>
        <item x="229"/>
        <item x="27"/>
        <item x="130"/>
        <item x="150"/>
        <item x="172"/>
        <item x="119"/>
        <item x="291"/>
        <item x="129"/>
        <item x="237"/>
        <item x="133"/>
        <item x="140"/>
        <item x="94"/>
        <item x="112"/>
        <item x="51"/>
        <item x="154"/>
        <item x="67"/>
        <item x="76"/>
        <item x="28"/>
        <item x="243"/>
        <item x="117"/>
        <item x="144"/>
        <item x="61"/>
        <item x="177"/>
        <item x="240"/>
        <item x="161"/>
        <item x="89"/>
        <item x="18"/>
        <item x="141"/>
        <item x="185"/>
        <item x="301"/>
        <item x="15"/>
        <item x="88"/>
        <item x="100"/>
        <item x="69"/>
        <item x="84"/>
        <item x="108"/>
        <item x="39"/>
        <item x="153"/>
        <item x="180"/>
        <item x="209"/>
        <item x="210"/>
        <item x="269"/>
        <item x="43"/>
        <item x="279"/>
        <item x="116"/>
        <item x="20"/>
        <item x="297"/>
        <item x="7"/>
        <item x="109"/>
        <item x="213"/>
        <item x="55"/>
        <item x="110"/>
        <item x="44"/>
        <item x="26"/>
        <item x="249"/>
        <item x="258"/>
        <item x="40"/>
        <item x="52"/>
        <item x="296"/>
        <item x="125"/>
        <item x="226"/>
        <item x="96"/>
        <item x="60"/>
        <item x="118"/>
        <item x="80"/>
        <item x="4"/>
        <item x="91"/>
        <item x="245"/>
        <item x="285"/>
        <item x="205"/>
        <item x="120"/>
        <item x="157"/>
        <item x="248"/>
        <item x="289"/>
        <item x="251"/>
        <item x="1"/>
        <item x="2"/>
        <item x="171"/>
        <item x="276"/>
        <item x="173"/>
        <item x="101"/>
        <item x="178"/>
        <item x="22"/>
        <item x="128"/>
        <item x="11"/>
        <item x="152"/>
        <item x="103"/>
        <item x="158"/>
        <item x="25"/>
        <item x="56"/>
        <item x="287"/>
        <item x="257"/>
        <item x="156"/>
        <item x="308"/>
        <item x="0"/>
        <item x="215"/>
        <item x="219"/>
        <item x="273"/>
        <item x="199"/>
        <item x="12"/>
        <item x="286"/>
        <item x="253"/>
        <item x="8"/>
        <item x="192"/>
        <item x="181"/>
        <item x="92"/>
        <item x="186"/>
        <item x="280"/>
        <item x="292"/>
        <item x="132"/>
        <item x="255"/>
        <item x="81"/>
        <item x="23"/>
        <item x="254"/>
        <item x="293"/>
        <item x="30"/>
        <item x="148"/>
        <item x="179"/>
        <item x="107"/>
        <item x="146"/>
        <item x="175"/>
        <item x="114"/>
        <item x="241"/>
        <item x="224"/>
        <item x="64"/>
        <item x="197"/>
        <item x="93"/>
        <item x="53"/>
        <item x="313"/>
        <item x="123"/>
        <item x="234"/>
        <item x="263"/>
        <item x="168"/>
        <item x="236"/>
        <item x="58"/>
        <item x="29"/>
        <item x="97"/>
        <item x="256"/>
        <item x="211"/>
        <item x="151"/>
        <item x="203"/>
        <item x="41"/>
        <item x="307"/>
        <item x="38"/>
        <item x="270"/>
        <item x="42"/>
        <item x="142"/>
        <item x="261"/>
        <item x="235"/>
        <item x="274"/>
        <item x="300"/>
        <item x="264"/>
        <item x="299"/>
        <item x="63"/>
        <item x="250"/>
        <item x="212"/>
        <item x="33"/>
        <item x="174"/>
        <item x="227"/>
        <item x="66"/>
        <item x="312"/>
        <item x="47"/>
        <item x="90"/>
        <item x="169"/>
        <item x="252"/>
        <item x="36"/>
        <item x="271"/>
        <item x="196"/>
        <item x="206"/>
        <item x="305"/>
        <item x="70"/>
        <item x="121"/>
        <item x="87"/>
        <item x="57"/>
        <item x="115"/>
        <item x="105"/>
        <item x="218"/>
        <item x="147"/>
        <item x="17"/>
        <item x="75"/>
        <item x="86"/>
        <item x="95"/>
        <item x="73"/>
        <item x="282"/>
        <item x="78"/>
        <item x="3"/>
        <item x="233"/>
        <item x="164"/>
        <item x="193"/>
        <item x="222"/>
        <item x="202"/>
        <item x="98"/>
        <item x="195"/>
        <item x="310"/>
        <item x="268"/>
        <item x="14"/>
        <item x="62"/>
        <item x="9"/>
        <item x="232"/>
        <item x="315"/>
        <item x="131"/>
        <item x="216"/>
        <item x="190"/>
        <item x="298"/>
        <item x="262"/>
        <item x="162"/>
        <item x="214"/>
        <item x="184"/>
        <item x="294"/>
        <item x="188"/>
        <item x="207"/>
        <item x="284"/>
        <item x="277"/>
        <item x="16"/>
        <item x="288"/>
        <item x="99"/>
        <item x="102"/>
        <item x="314"/>
        <item x="24"/>
        <item x="303"/>
        <item x="48"/>
        <item x="189"/>
        <item x="247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PivotTable2"/>
    <pivotTable tabId="3" name="PivotTable1"/>
    <pivotTable tabId="3" name="PivotTable3"/>
    <pivotTable tabId="3" name="PivotTable4"/>
    <pivotTable tabId="3" name="PivotTable5"/>
    <pivotTable tabId="3" name="PivotTable6"/>
  </pivotTables>
  <data>
    <tabular pivotCacheId="1">
      <items count="7">
        <i x="3" s="1"/>
        <i x="1" s="1"/>
        <i x="4" s="1"/>
        <i x="0" s="1"/>
        <i x="2" s="1"/>
        <i x="6" s="1"/>
        <i x="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ment_Status" sourceName="Employment_Status">
  <pivotTables>
    <pivotTable tabId="3" name="PivotTable1"/>
    <pivotTable tabId="3" name="PivotTable2"/>
    <pivotTable tabId="3" name="PivotTable3"/>
    <pivotTable tabId="3" name="PivotTable4"/>
    <pivotTable tabId="3" name="PivotTable5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time" sourceName="Overtime">
  <pivotTables>
    <pivotTable tabId="3" name="PivotTable5"/>
    <pivotTable tabId="3" name="PivotTable1"/>
    <pivotTable tabId="3" name="PivotTable2"/>
    <pivotTable tabId="3" name="PivotTable3"/>
    <pivotTable tabId="3" name="PivotTable4"/>
    <pivotTable tabId="3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vertime 1" cache="Slicer_Overtime" caption="Overtime" columnCount="2" style="SlicerStyleLight3" rowHeight="225425"/>
  <slicer name="Employment_Status 2" cache="Slicer_Employment_Status" caption="Employment_Status" columnCount="2" style="SlicerStyleLight3" rowHeight="225425"/>
  <slicer name="Department 3" cache="Slicer_Department" caption="Department" style="Slicer Style 3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2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1"/>
  <sheetViews>
    <sheetView showGridLines="0" topLeftCell="H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4" customWidth="1"/>
    <col min="2" max="2" width="16" customWidth="1"/>
    <col min="3" max="6" width="14" customWidth="1"/>
    <col min="7" max="8" width="18" customWidth="1"/>
    <col min="9" max="10" width="14" customWidth="1"/>
    <col min="11" max="11" width="20" customWidth="1"/>
    <col min="12" max="12" width="21" customWidth="1"/>
    <col min="13" max="13" width="24" customWidth="1"/>
    <col min="14" max="14" width="14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6" t="s">
        <v>11</v>
      </c>
      <c r="M1" s="7" t="s">
        <v>12</v>
      </c>
      <c r="N1" s="4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8">
        <v>43168</v>
      </c>
      <c r="J2" s="8"/>
      <c r="K2" t="s">
        <v>22</v>
      </c>
      <c r="L2" s="9">
        <v>44700</v>
      </c>
      <c r="M2" s="10">
        <v>3</v>
      </c>
      <c r="N2" t="s">
        <v>23</v>
      </c>
    </row>
    <row r="3" spans="1:14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s="8">
        <v>44995</v>
      </c>
      <c r="J3" s="8"/>
      <c r="K3" t="s">
        <v>22</v>
      </c>
      <c r="L3" s="9">
        <v>42200</v>
      </c>
      <c r="M3" s="10">
        <v>4</v>
      </c>
      <c r="N3" t="s">
        <v>23</v>
      </c>
    </row>
    <row r="4" spans="1:1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21</v>
      </c>
      <c r="I4" s="8">
        <v>43875</v>
      </c>
      <c r="J4" s="8">
        <v>44331</v>
      </c>
      <c r="K4" t="s">
        <v>36</v>
      </c>
      <c r="L4" s="9">
        <v>42300</v>
      </c>
      <c r="M4" s="10">
        <v>2</v>
      </c>
      <c r="N4" t="s">
        <v>23</v>
      </c>
    </row>
    <row r="5" spans="1:14">
      <c r="A5" t="s">
        <v>37</v>
      </c>
      <c r="B5" t="s">
        <v>38</v>
      </c>
      <c r="C5" t="s">
        <v>31</v>
      </c>
      <c r="D5" t="s">
        <v>17</v>
      </c>
      <c r="E5" t="s">
        <v>18</v>
      </c>
      <c r="F5" t="s">
        <v>39</v>
      </c>
      <c r="G5" t="s">
        <v>40</v>
      </c>
      <c r="H5" t="s">
        <v>21</v>
      </c>
      <c r="I5" s="8">
        <v>45900</v>
      </c>
      <c r="J5" s="8"/>
      <c r="K5" t="s">
        <v>22</v>
      </c>
      <c r="L5" s="9">
        <v>59600</v>
      </c>
      <c r="M5" s="10">
        <v>4</v>
      </c>
      <c r="N5" t="s">
        <v>23</v>
      </c>
    </row>
    <row r="6" spans="1:14">
      <c r="A6" t="s">
        <v>41</v>
      </c>
      <c r="B6" t="s">
        <v>42</v>
      </c>
      <c r="C6" t="s">
        <v>31</v>
      </c>
      <c r="D6" t="s">
        <v>43</v>
      </c>
      <c r="E6" t="s">
        <v>44</v>
      </c>
      <c r="F6" t="s">
        <v>45</v>
      </c>
      <c r="G6" t="s">
        <v>20</v>
      </c>
      <c r="H6" t="s">
        <v>46</v>
      </c>
      <c r="I6" s="8">
        <v>44829</v>
      </c>
      <c r="J6" s="8"/>
      <c r="K6" t="s">
        <v>22</v>
      </c>
      <c r="L6" s="9">
        <v>41200</v>
      </c>
      <c r="M6" s="10">
        <v>3</v>
      </c>
      <c r="N6" t="s">
        <v>23</v>
      </c>
    </row>
    <row r="7" spans="1:14">
      <c r="A7" t="s">
        <v>47</v>
      </c>
      <c r="B7" t="s">
        <v>48</v>
      </c>
      <c r="C7" t="s">
        <v>31</v>
      </c>
      <c r="D7" t="s">
        <v>49</v>
      </c>
      <c r="E7" t="s">
        <v>33</v>
      </c>
      <c r="F7" t="s">
        <v>34</v>
      </c>
      <c r="G7" t="s">
        <v>40</v>
      </c>
      <c r="H7" t="s">
        <v>21</v>
      </c>
      <c r="I7" s="8">
        <v>43898</v>
      </c>
      <c r="J7" s="8">
        <v>44680</v>
      </c>
      <c r="K7" t="s">
        <v>36</v>
      </c>
      <c r="L7" s="9">
        <v>44700</v>
      </c>
      <c r="M7" s="10">
        <v>4</v>
      </c>
      <c r="N7" t="s">
        <v>23</v>
      </c>
    </row>
    <row r="8" spans="1:14">
      <c r="A8" t="s">
        <v>50</v>
      </c>
      <c r="B8" t="s">
        <v>51</v>
      </c>
      <c r="C8" t="s">
        <v>31</v>
      </c>
      <c r="D8" t="s">
        <v>43</v>
      </c>
      <c r="E8" t="s">
        <v>52</v>
      </c>
      <c r="F8" t="s">
        <v>53</v>
      </c>
      <c r="G8" t="s">
        <v>35</v>
      </c>
      <c r="H8" t="s">
        <v>21</v>
      </c>
      <c r="I8" s="8">
        <v>44921</v>
      </c>
      <c r="J8" s="8"/>
      <c r="K8" t="s">
        <v>22</v>
      </c>
      <c r="L8" s="9">
        <v>32800</v>
      </c>
      <c r="M8" s="10">
        <v>4</v>
      </c>
      <c r="N8" t="s">
        <v>23</v>
      </c>
    </row>
    <row r="9" spans="1:14">
      <c r="A9" t="s">
        <v>54</v>
      </c>
      <c r="B9" t="s">
        <v>55</v>
      </c>
      <c r="C9" t="s">
        <v>16</v>
      </c>
      <c r="D9" t="s">
        <v>32</v>
      </c>
      <c r="E9" t="s">
        <v>44</v>
      </c>
      <c r="F9" t="s">
        <v>56</v>
      </c>
      <c r="G9" t="s">
        <v>57</v>
      </c>
      <c r="H9" t="s">
        <v>21</v>
      </c>
      <c r="I9" s="8">
        <v>45119</v>
      </c>
      <c r="J9" s="8"/>
      <c r="K9" t="s">
        <v>22</v>
      </c>
      <c r="L9" s="9">
        <v>23300</v>
      </c>
      <c r="M9" s="10">
        <v>4</v>
      </c>
      <c r="N9" t="s">
        <v>58</v>
      </c>
    </row>
    <row r="10" spans="1:14">
      <c r="A10" t="s">
        <v>59</v>
      </c>
      <c r="B10" t="s">
        <v>60</v>
      </c>
      <c r="C10" t="s">
        <v>16</v>
      </c>
      <c r="D10" t="s">
        <v>17</v>
      </c>
      <c r="E10" t="s">
        <v>27</v>
      </c>
      <c r="F10" t="s">
        <v>61</v>
      </c>
      <c r="G10" t="s">
        <v>20</v>
      </c>
      <c r="H10" t="s">
        <v>21</v>
      </c>
      <c r="I10" s="8">
        <v>43153</v>
      </c>
      <c r="J10" s="8"/>
      <c r="K10" t="s">
        <v>22</v>
      </c>
      <c r="L10" s="9">
        <v>39000</v>
      </c>
      <c r="M10" s="10">
        <v>4</v>
      </c>
      <c r="N10" t="s">
        <v>58</v>
      </c>
    </row>
    <row r="11" spans="1:14">
      <c r="A11" t="s">
        <v>62</v>
      </c>
      <c r="B11" t="s">
        <v>63</v>
      </c>
      <c r="C11" t="s">
        <v>16</v>
      </c>
      <c r="D11" t="s">
        <v>49</v>
      </c>
      <c r="E11" t="s">
        <v>64</v>
      </c>
      <c r="F11" t="s">
        <v>65</v>
      </c>
      <c r="G11" t="s">
        <v>20</v>
      </c>
      <c r="H11" t="s">
        <v>21</v>
      </c>
      <c r="I11" s="8">
        <v>45339</v>
      </c>
      <c r="J11" s="8"/>
      <c r="K11" t="s">
        <v>22</v>
      </c>
      <c r="L11" s="9">
        <v>45600</v>
      </c>
      <c r="M11" s="10">
        <v>2</v>
      </c>
      <c r="N11" t="s">
        <v>23</v>
      </c>
    </row>
    <row r="12" spans="1:14">
      <c r="A12" t="s">
        <v>66</v>
      </c>
      <c r="B12" t="s">
        <v>67</v>
      </c>
      <c r="C12" t="s">
        <v>31</v>
      </c>
      <c r="D12" t="s">
        <v>49</v>
      </c>
      <c r="E12" t="s">
        <v>27</v>
      </c>
      <c r="F12" t="s">
        <v>61</v>
      </c>
      <c r="G12" t="s">
        <v>35</v>
      </c>
      <c r="H12" t="s">
        <v>21</v>
      </c>
      <c r="I12" s="8">
        <v>44399</v>
      </c>
      <c r="J12" s="8"/>
      <c r="K12" t="s">
        <v>22</v>
      </c>
      <c r="L12" s="9">
        <v>62800</v>
      </c>
      <c r="M12" s="10">
        <v>4</v>
      </c>
      <c r="N12" t="s">
        <v>23</v>
      </c>
    </row>
    <row r="13" spans="1:14">
      <c r="A13" t="s">
        <v>68</v>
      </c>
      <c r="B13" t="s">
        <v>69</v>
      </c>
      <c r="C13" t="s">
        <v>16</v>
      </c>
      <c r="D13" t="s">
        <v>43</v>
      </c>
      <c r="E13" t="s">
        <v>70</v>
      </c>
      <c r="F13" t="s">
        <v>71</v>
      </c>
      <c r="G13" t="s">
        <v>57</v>
      </c>
      <c r="H13" t="s">
        <v>46</v>
      </c>
      <c r="I13" s="8">
        <v>45614</v>
      </c>
      <c r="J13" s="8">
        <v>45852</v>
      </c>
      <c r="K13" t="s">
        <v>36</v>
      </c>
      <c r="L13" s="9">
        <v>28200</v>
      </c>
      <c r="M13" s="10">
        <v>2</v>
      </c>
      <c r="N13" t="s">
        <v>23</v>
      </c>
    </row>
    <row r="14" spans="1:14">
      <c r="A14" t="s">
        <v>72</v>
      </c>
      <c r="B14" t="s">
        <v>73</v>
      </c>
      <c r="C14" t="s">
        <v>31</v>
      </c>
      <c r="D14" t="s">
        <v>74</v>
      </c>
      <c r="E14" t="s">
        <v>27</v>
      </c>
      <c r="F14" t="s">
        <v>75</v>
      </c>
      <c r="G14" t="s">
        <v>40</v>
      </c>
      <c r="H14" t="s">
        <v>21</v>
      </c>
      <c r="I14" s="8">
        <v>45308</v>
      </c>
      <c r="J14" s="8"/>
      <c r="K14" t="s">
        <v>22</v>
      </c>
      <c r="L14" s="9">
        <v>43500</v>
      </c>
      <c r="M14" s="10">
        <v>5</v>
      </c>
      <c r="N14" t="s">
        <v>23</v>
      </c>
    </row>
    <row r="15" spans="1:14">
      <c r="A15" t="s">
        <v>76</v>
      </c>
      <c r="B15" t="s">
        <v>77</v>
      </c>
      <c r="C15" t="s">
        <v>31</v>
      </c>
      <c r="D15" t="s">
        <v>43</v>
      </c>
      <c r="E15" t="s">
        <v>27</v>
      </c>
      <c r="F15" t="s">
        <v>75</v>
      </c>
      <c r="G15" t="s">
        <v>40</v>
      </c>
      <c r="H15" t="s">
        <v>21</v>
      </c>
      <c r="I15" s="8">
        <v>45699</v>
      </c>
      <c r="J15" s="8"/>
      <c r="K15" t="s">
        <v>22</v>
      </c>
      <c r="L15" s="9">
        <v>45300</v>
      </c>
      <c r="M15" s="10">
        <v>3</v>
      </c>
      <c r="N15" t="s">
        <v>58</v>
      </c>
    </row>
    <row r="16" spans="1:14">
      <c r="A16" t="s">
        <v>78</v>
      </c>
      <c r="B16" t="s">
        <v>79</v>
      </c>
      <c r="C16" t="s">
        <v>16</v>
      </c>
      <c r="D16" t="s">
        <v>17</v>
      </c>
      <c r="E16" t="s">
        <v>52</v>
      </c>
      <c r="F16" t="s">
        <v>53</v>
      </c>
      <c r="G16" t="s">
        <v>35</v>
      </c>
      <c r="H16" t="s">
        <v>21</v>
      </c>
      <c r="I16" s="8">
        <v>43598</v>
      </c>
      <c r="J16" s="8">
        <v>45900</v>
      </c>
      <c r="K16" t="s">
        <v>36</v>
      </c>
      <c r="L16" s="9">
        <v>27200</v>
      </c>
      <c r="M16" s="10">
        <v>5</v>
      </c>
      <c r="N16" t="s">
        <v>23</v>
      </c>
    </row>
    <row r="17" spans="1:14">
      <c r="A17" t="s">
        <v>80</v>
      </c>
      <c r="B17" t="s">
        <v>81</v>
      </c>
      <c r="C17" t="s">
        <v>16</v>
      </c>
      <c r="D17" t="s">
        <v>74</v>
      </c>
      <c r="E17" t="s">
        <v>18</v>
      </c>
      <c r="F17" t="s">
        <v>39</v>
      </c>
      <c r="G17" t="s">
        <v>57</v>
      </c>
      <c r="H17" t="s">
        <v>21</v>
      </c>
      <c r="I17" s="8">
        <v>44697</v>
      </c>
      <c r="J17" s="8">
        <v>45831</v>
      </c>
      <c r="K17" t="s">
        <v>36</v>
      </c>
      <c r="L17" s="9">
        <v>62200</v>
      </c>
      <c r="M17" s="10">
        <v>3</v>
      </c>
      <c r="N17" t="s">
        <v>58</v>
      </c>
    </row>
    <row r="18" spans="1:14">
      <c r="A18" t="s">
        <v>82</v>
      </c>
      <c r="B18" t="s">
        <v>83</v>
      </c>
      <c r="C18" t="s">
        <v>16</v>
      </c>
      <c r="D18" t="s">
        <v>49</v>
      </c>
      <c r="E18" t="s">
        <v>44</v>
      </c>
      <c r="F18" t="s">
        <v>45</v>
      </c>
      <c r="G18" t="s">
        <v>20</v>
      </c>
      <c r="H18" t="s">
        <v>21</v>
      </c>
      <c r="I18" s="8">
        <v>45202</v>
      </c>
      <c r="J18" s="8"/>
      <c r="K18" t="s">
        <v>22</v>
      </c>
      <c r="L18" s="9">
        <v>37000</v>
      </c>
      <c r="M18" s="10">
        <v>3</v>
      </c>
      <c r="N18" t="s">
        <v>23</v>
      </c>
    </row>
    <row r="19" spans="1:14">
      <c r="A19" t="s">
        <v>84</v>
      </c>
      <c r="B19" t="s">
        <v>85</v>
      </c>
      <c r="C19" t="s">
        <v>31</v>
      </c>
      <c r="D19" t="s">
        <v>32</v>
      </c>
      <c r="E19" t="s">
        <v>27</v>
      </c>
      <c r="F19" t="s">
        <v>75</v>
      </c>
      <c r="G19" t="s">
        <v>40</v>
      </c>
      <c r="H19" t="s">
        <v>21</v>
      </c>
      <c r="I19" s="8">
        <v>44972</v>
      </c>
      <c r="J19" s="8"/>
      <c r="K19" t="s">
        <v>22</v>
      </c>
      <c r="L19" s="9">
        <v>68200</v>
      </c>
      <c r="M19" s="10">
        <v>4</v>
      </c>
      <c r="N19" t="s">
        <v>23</v>
      </c>
    </row>
    <row r="20" spans="1:14">
      <c r="A20" t="s">
        <v>86</v>
      </c>
      <c r="B20" t="s">
        <v>87</v>
      </c>
      <c r="C20" t="s">
        <v>31</v>
      </c>
      <c r="D20" t="s">
        <v>88</v>
      </c>
      <c r="E20" t="s">
        <v>18</v>
      </c>
      <c r="F20" t="s">
        <v>89</v>
      </c>
      <c r="G20" t="s">
        <v>20</v>
      </c>
      <c r="H20" t="s">
        <v>21</v>
      </c>
      <c r="I20" s="8">
        <v>45726</v>
      </c>
      <c r="J20" s="8">
        <v>45942</v>
      </c>
      <c r="K20" t="s">
        <v>36</v>
      </c>
      <c r="L20" s="9">
        <v>58200</v>
      </c>
      <c r="M20" s="10">
        <v>5</v>
      </c>
      <c r="N20" t="s">
        <v>58</v>
      </c>
    </row>
    <row r="21" spans="1:14">
      <c r="A21" t="s">
        <v>90</v>
      </c>
      <c r="B21" t="s">
        <v>91</v>
      </c>
      <c r="C21" t="s">
        <v>16</v>
      </c>
      <c r="D21" t="s">
        <v>49</v>
      </c>
      <c r="E21" t="s">
        <v>64</v>
      </c>
      <c r="F21" t="s">
        <v>92</v>
      </c>
      <c r="G21" t="s">
        <v>35</v>
      </c>
      <c r="H21" t="s">
        <v>21</v>
      </c>
      <c r="I21" s="8">
        <v>43928</v>
      </c>
      <c r="J21" s="8"/>
      <c r="K21" t="s">
        <v>22</v>
      </c>
      <c r="L21" s="9">
        <v>36600</v>
      </c>
      <c r="M21" s="10">
        <v>5</v>
      </c>
      <c r="N21" t="s">
        <v>23</v>
      </c>
    </row>
    <row r="22" spans="1:14">
      <c r="A22" t="s">
        <v>93</v>
      </c>
      <c r="B22" t="s">
        <v>94</v>
      </c>
      <c r="C22" t="s">
        <v>16</v>
      </c>
      <c r="D22" t="s">
        <v>49</v>
      </c>
      <c r="E22" t="s">
        <v>44</v>
      </c>
      <c r="F22" t="s">
        <v>56</v>
      </c>
      <c r="G22" t="s">
        <v>40</v>
      </c>
      <c r="H22" t="s">
        <v>21</v>
      </c>
      <c r="I22" s="8">
        <v>43325</v>
      </c>
      <c r="J22" s="8"/>
      <c r="K22" t="s">
        <v>22</v>
      </c>
      <c r="L22" s="9">
        <v>21300</v>
      </c>
      <c r="M22" s="10">
        <v>2</v>
      </c>
      <c r="N22" t="s">
        <v>58</v>
      </c>
    </row>
    <row r="23" spans="1:14">
      <c r="A23" t="s">
        <v>95</v>
      </c>
      <c r="B23" t="s">
        <v>96</v>
      </c>
      <c r="C23" t="s">
        <v>31</v>
      </c>
      <c r="D23" t="s">
        <v>49</v>
      </c>
      <c r="E23" t="s">
        <v>33</v>
      </c>
      <c r="F23" t="s">
        <v>97</v>
      </c>
      <c r="G23" t="s">
        <v>20</v>
      </c>
      <c r="H23" t="s">
        <v>21</v>
      </c>
      <c r="I23" s="8">
        <v>45830</v>
      </c>
      <c r="J23" s="8"/>
      <c r="K23" t="s">
        <v>22</v>
      </c>
      <c r="L23" s="9">
        <v>38800</v>
      </c>
      <c r="M23" s="10">
        <v>3</v>
      </c>
      <c r="N23" t="s">
        <v>23</v>
      </c>
    </row>
    <row r="24" spans="1:14">
      <c r="A24" t="s">
        <v>98</v>
      </c>
      <c r="B24" t="s">
        <v>99</v>
      </c>
      <c r="C24" t="s">
        <v>31</v>
      </c>
      <c r="D24" t="s">
        <v>49</v>
      </c>
      <c r="E24" t="s">
        <v>44</v>
      </c>
      <c r="F24" t="s">
        <v>56</v>
      </c>
      <c r="G24" t="s">
        <v>57</v>
      </c>
      <c r="H24" t="s">
        <v>21</v>
      </c>
      <c r="I24" s="8">
        <v>44248</v>
      </c>
      <c r="J24" s="8"/>
      <c r="K24" t="s">
        <v>22</v>
      </c>
      <c r="L24" s="9">
        <v>27000</v>
      </c>
      <c r="M24" s="10">
        <v>4</v>
      </c>
      <c r="N24" t="s">
        <v>23</v>
      </c>
    </row>
    <row r="25" spans="1:14">
      <c r="A25" t="s">
        <v>100</v>
      </c>
      <c r="B25" t="s">
        <v>101</v>
      </c>
      <c r="C25" t="s">
        <v>16</v>
      </c>
      <c r="D25" t="s">
        <v>74</v>
      </c>
      <c r="E25" t="s">
        <v>70</v>
      </c>
      <c r="F25" t="s">
        <v>102</v>
      </c>
      <c r="G25" t="s">
        <v>40</v>
      </c>
      <c r="H25" t="s">
        <v>21</v>
      </c>
      <c r="I25" s="8">
        <v>45867</v>
      </c>
      <c r="J25" s="8"/>
      <c r="K25" t="s">
        <v>22</v>
      </c>
      <c r="L25" s="9">
        <v>43300</v>
      </c>
      <c r="M25" s="10">
        <v>4</v>
      </c>
      <c r="N25" t="s">
        <v>58</v>
      </c>
    </row>
    <row r="26" spans="1:14">
      <c r="A26" t="s">
        <v>103</v>
      </c>
      <c r="B26" t="s">
        <v>104</v>
      </c>
      <c r="C26" t="s">
        <v>31</v>
      </c>
      <c r="D26" t="s">
        <v>74</v>
      </c>
      <c r="E26" t="s">
        <v>70</v>
      </c>
      <c r="F26" t="s">
        <v>105</v>
      </c>
      <c r="G26" t="s">
        <v>35</v>
      </c>
      <c r="H26" t="s">
        <v>21</v>
      </c>
      <c r="I26" s="8">
        <v>43900</v>
      </c>
      <c r="J26" s="8"/>
      <c r="K26" t="s">
        <v>22</v>
      </c>
      <c r="L26" s="9">
        <v>46800</v>
      </c>
      <c r="M26" s="10">
        <v>1</v>
      </c>
      <c r="N26" t="s">
        <v>23</v>
      </c>
    </row>
    <row r="27" spans="1:14">
      <c r="A27" t="s">
        <v>106</v>
      </c>
      <c r="B27" t="s">
        <v>107</v>
      </c>
      <c r="C27" t="s">
        <v>31</v>
      </c>
      <c r="D27" t="s">
        <v>17</v>
      </c>
      <c r="E27" t="s">
        <v>18</v>
      </c>
      <c r="F27" t="s">
        <v>89</v>
      </c>
      <c r="G27" t="s">
        <v>35</v>
      </c>
      <c r="H27" t="s">
        <v>21</v>
      </c>
      <c r="I27" s="8">
        <v>45522</v>
      </c>
      <c r="J27" s="8"/>
      <c r="K27" t="s">
        <v>22</v>
      </c>
      <c r="L27" s="9">
        <v>70900</v>
      </c>
      <c r="M27" s="10">
        <v>2</v>
      </c>
      <c r="N27" t="s">
        <v>23</v>
      </c>
    </row>
    <row r="28" spans="1:14">
      <c r="A28" t="s">
        <v>108</v>
      </c>
      <c r="B28" t="s">
        <v>109</v>
      </c>
      <c r="C28" t="s">
        <v>31</v>
      </c>
      <c r="D28" t="s">
        <v>26</v>
      </c>
      <c r="E28" t="s">
        <v>27</v>
      </c>
      <c r="F28" t="s">
        <v>75</v>
      </c>
      <c r="G28" t="s">
        <v>57</v>
      </c>
      <c r="H28" t="s">
        <v>21</v>
      </c>
      <c r="I28" s="8">
        <v>44386</v>
      </c>
      <c r="J28" s="8">
        <v>45486</v>
      </c>
      <c r="K28" t="s">
        <v>36</v>
      </c>
      <c r="L28" s="9">
        <v>43900</v>
      </c>
      <c r="M28" s="10">
        <v>4</v>
      </c>
      <c r="N28" t="s">
        <v>23</v>
      </c>
    </row>
    <row r="29" spans="1:14">
      <c r="A29" t="s">
        <v>110</v>
      </c>
      <c r="B29" t="s">
        <v>111</v>
      </c>
      <c r="C29" t="s">
        <v>16</v>
      </c>
      <c r="D29" t="s">
        <v>43</v>
      </c>
      <c r="E29" t="s">
        <v>64</v>
      </c>
      <c r="F29" t="s">
        <v>92</v>
      </c>
      <c r="G29" t="s">
        <v>20</v>
      </c>
      <c r="H29" t="s">
        <v>21</v>
      </c>
      <c r="I29" s="8">
        <v>44448</v>
      </c>
      <c r="J29" s="8"/>
      <c r="K29" t="s">
        <v>22</v>
      </c>
      <c r="L29" s="9">
        <v>39700</v>
      </c>
      <c r="M29" s="10">
        <v>5</v>
      </c>
      <c r="N29" t="s">
        <v>23</v>
      </c>
    </row>
    <row r="30" spans="1:14">
      <c r="A30" t="s">
        <v>112</v>
      </c>
      <c r="B30" t="s">
        <v>113</v>
      </c>
      <c r="C30" t="s">
        <v>31</v>
      </c>
      <c r="D30" t="s">
        <v>114</v>
      </c>
      <c r="E30" t="s">
        <v>27</v>
      </c>
      <c r="F30" t="s">
        <v>28</v>
      </c>
      <c r="G30" t="s">
        <v>20</v>
      </c>
      <c r="H30" t="s">
        <v>46</v>
      </c>
      <c r="I30" s="8">
        <v>44178</v>
      </c>
      <c r="J30" s="8">
        <v>44620</v>
      </c>
      <c r="K30" t="s">
        <v>36</v>
      </c>
      <c r="L30" s="9">
        <v>33800</v>
      </c>
      <c r="M30" s="10">
        <v>5</v>
      </c>
      <c r="N30" t="s">
        <v>23</v>
      </c>
    </row>
    <row r="31" spans="1:14">
      <c r="A31" t="s">
        <v>115</v>
      </c>
      <c r="B31" t="s">
        <v>116</v>
      </c>
      <c r="C31" t="s">
        <v>16</v>
      </c>
      <c r="D31" t="s">
        <v>88</v>
      </c>
      <c r="E31" t="s">
        <v>64</v>
      </c>
      <c r="F31" t="s">
        <v>65</v>
      </c>
      <c r="G31" t="s">
        <v>20</v>
      </c>
      <c r="H31" t="s">
        <v>21</v>
      </c>
      <c r="I31" s="8">
        <v>44662</v>
      </c>
      <c r="J31" s="8">
        <v>45090</v>
      </c>
      <c r="K31" t="s">
        <v>36</v>
      </c>
      <c r="L31" s="9">
        <v>35600</v>
      </c>
      <c r="M31" s="10">
        <v>3</v>
      </c>
      <c r="N31" t="s">
        <v>58</v>
      </c>
    </row>
    <row r="32" spans="1:14">
      <c r="A32" t="s">
        <v>117</v>
      </c>
      <c r="B32" t="s">
        <v>118</v>
      </c>
      <c r="C32" t="s">
        <v>31</v>
      </c>
      <c r="D32" t="s">
        <v>114</v>
      </c>
      <c r="E32" t="s">
        <v>64</v>
      </c>
      <c r="F32" t="s">
        <v>119</v>
      </c>
      <c r="G32" t="s">
        <v>57</v>
      </c>
      <c r="H32" t="s">
        <v>21</v>
      </c>
      <c r="I32" s="8">
        <v>44299</v>
      </c>
      <c r="J32" s="8"/>
      <c r="K32" t="s">
        <v>22</v>
      </c>
      <c r="L32" s="9">
        <v>49900</v>
      </c>
      <c r="M32" s="10">
        <v>4</v>
      </c>
      <c r="N32" t="s">
        <v>23</v>
      </c>
    </row>
    <row r="33" spans="1:14">
      <c r="A33" t="s">
        <v>120</v>
      </c>
      <c r="B33" t="s">
        <v>121</v>
      </c>
      <c r="C33" t="s">
        <v>31</v>
      </c>
      <c r="D33" t="s">
        <v>26</v>
      </c>
      <c r="E33" t="s">
        <v>18</v>
      </c>
      <c r="F33" t="s">
        <v>19</v>
      </c>
      <c r="G33" t="s">
        <v>57</v>
      </c>
      <c r="H33" t="s">
        <v>46</v>
      </c>
      <c r="I33" s="8">
        <v>44023</v>
      </c>
      <c r="J33" s="8"/>
      <c r="K33" t="s">
        <v>22</v>
      </c>
      <c r="L33" s="9">
        <v>47100</v>
      </c>
      <c r="M33" s="10">
        <v>5</v>
      </c>
      <c r="N33" t="s">
        <v>23</v>
      </c>
    </row>
    <row r="34" spans="1:14">
      <c r="A34" t="s">
        <v>122</v>
      </c>
      <c r="B34" t="s">
        <v>123</v>
      </c>
      <c r="C34" t="s">
        <v>31</v>
      </c>
      <c r="D34" t="s">
        <v>43</v>
      </c>
      <c r="E34" t="s">
        <v>70</v>
      </c>
      <c r="F34" t="s">
        <v>71</v>
      </c>
      <c r="G34" t="s">
        <v>20</v>
      </c>
      <c r="H34" t="s">
        <v>21</v>
      </c>
      <c r="I34" s="8">
        <v>43115</v>
      </c>
      <c r="J34" s="8"/>
      <c r="K34" t="s">
        <v>22</v>
      </c>
      <c r="L34" s="9">
        <v>23400</v>
      </c>
      <c r="M34" s="10">
        <v>3</v>
      </c>
      <c r="N34" t="s">
        <v>58</v>
      </c>
    </row>
    <row r="35" spans="1:14">
      <c r="A35" t="s">
        <v>124</v>
      </c>
      <c r="B35" t="s">
        <v>125</v>
      </c>
      <c r="C35" t="s">
        <v>16</v>
      </c>
      <c r="D35" t="s">
        <v>114</v>
      </c>
      <c r="E35" t="s">
        <v>52</v>
      </c>
      <c r="F35" t="s">
        <v>126</v>
      </c>
      <c r="G35" t="s">
        <v>35</v>
      </c>
      <c r="H35" t="s">
        <v>46</v>
      </c>
      <c r="I35" s="8">
        <v>44118</v>
      </c>
      <c r="J35" s="8"/>
      <c r="K35" t="s">
        <v>22</v>
      </c>
      <c r="L35" s="9">
        <v>20800</v>
      </c>
      <c r="M35" s="10">
        <v>4</v>
      </c>
      <c r="N35" t="s">
        <v>58</v>
      </c>
    </row>
    <row r="36" spans="1:14">
      <c r="A36" t="s">
        <v>127</v>
      </c>
      <c r="B36" t="s">
        <v>128</v>
      </c>
      <c r="C36" t="s">
        <v>16</v>
      </c>
      <c r="D36" t="s">
        <v>43</v>
      </c>
      <c r="E36" t="s">
        <v>18</v>
      </c>
      <c r="F36" t="s">
        <v>39</v>
      </c>
      <c r="G36" t="s">
        <v>35</v>
      </c>
      <c r="H36" t="s">
        <v>21</v>
      </c>
      <c r="I36" s="8">
        <v>45409</v>
      </c>
      <c r="J36" s="8"/>
      <c r="K36" t="s">
        <v>22</v>
      </c>
      <c r="L36" s="9">
        <v>53700</v>
      </c>
      <c r="M36" s="10">
        <v>3</v>
      </c>
      <c r="N36" t="s">
        <v>23</v>
      </c>
    </row>
    <row r="37" spans="1:14">
      <c r="A37" t="s">
        <v>129</v>
      </c>
      <c r="B37" t="s">
        <v>130</v>
      </c>
      <c r="C37" t="s">
        <v>31</v>
      </c>
      <c r="D37" t="s">
        <v>114</v>
      </c>
      <c r="E37" t="s">
        <v>44</v>
      </c>
      <c r="F37" t="s">
        <v>45</v>
      </c>
      <c r="G37" t="s">
        <v>57</v>
      </c>
      <c r="H37" t="s">
        <v>21</v>
      </c>
      <c r="I37" s="8">
        <v>44281</v>
      </c>
      <c r="J37" s="8"/>
      <c r="K37" t="s">
        <v>22</v>
      </c>
      <c r="L37" s="9">
        <v>32300</v>
      </c>
      <c r="M37" s="10">
        <v>4</v>
      </c>
      <c r="N37" t="s">
        <v>23</v>
      </c>
    </row>
    <row r="38" spans="1:14">
      <c r="A38" t="s">
        <v>131</v>
      </c>
      <c r="B38" t="s">
        <v>132</v>
      </c>
      <c r="C38" t="s">
        <v>16</v>
      </c>
      <c r="D38" t="s">
        <v>32</v>
      </c>
      <c r="E38" t="s">
        <v>44</v>
      </c>
      <c r="F38" t="s">
        <v>133</v>
      </c>
      <c r="G38" t="s">
        <v>20</v>
      </c>
      <c r="H38" t="s">
        <v>46</v>
      </c>
      <c r="I38" s="8">
        <v>44033</v>
      </c>
      <c r="J38" s="8"/>
      <c r="K38" t="s">
        <v>22</v>
      </c>
      <c r="L38" s="9">
        <v>21100</v>
      </c>
      <c r="M38" s="10">
        <v>4</v>
      </c>
      <c r="N38" t="s">
        <v>23</v>
      </c>
    </row>
    <row r="39" spans="1:14">
      <c r="A39" t="s">
        <v>134</v>
      </c>
      <c r="B39" t="s">
        <v>135</v>
      </c>
      <c r="C39" t="s">
        <v>31</v>
      </c>
      <c r="D39" t="s">
        <v>17</v>
      </c>
      <c r="E39" t="s">
        <v>33</v>
      </c>
      <c r="F39" t="s">
        <v>34</v>
      </c>
      <c r="G39" t="s">
        <v>35</v>
      </c>
      <c r="H39" t="s">
        <v>46</v>
      </c>
      <c r="I39" s="8">
        <v>44847</v>
      </c>
      <c r="J39" s="8"/>
      <c r="K39" t="s">
        <v>22</v>
      </c>
      <c r="L39" s="9">
        <v>55500</v>
      </c>
      <c r="M39" s="10">
        <v>3</v>
      </c>
      <c r="N39" t="s">
        <v>58</v>
      </c>
    </row>
    <row r="40" spans="1:14">
      <c r="A40" t="s">
        <v>136</v>
      </c>
      <c r="B40" t="s">
        <v>137</v>
      </c>
      <c r="C40" t="s">
        <v>31</v>
      </c>
      <c r="D40" t="s">
        <v>49</v>
      </c>
      <c r="E40" t="s">
        <v>44</v>
      </c>
      <c r="F40" t="s">
        <v>133</v>
      </c>
      <c r="G40" t="s">
        <v>20</v>
      </c>
      <c r="H40" t="s">
        <v>21</v>
      </c>
      <c r="I40" s="8">
        <v>45754</v>
      </c>
      <c r="J40" s="8"/>
      <c r="K40" t="s">
        <v>22</v>
      </c>
      <c r="L40" s="9">
        <v>28100</v>
      </c>
      <c r="M40" s="10">
        <v>3</v>
      </c>
      <c r="N40" t="s">
        <v>23</v>
      </c>
    </row>
    <row r="41" spans="1:14">
      <c r="A41" t="s">
        <v>138</v>
      </c>
      <c r="B41" t="s">
        <v>139</v>
      </c>
      <c r="C41" t="s">
        <v>16</v>
      </c>
      <c r="D41" t="s">
        <v>74</v>
      </c>
      <c r="E41" t="s">
        <v>44</v>
      </c>
      <c r="F41" t="s">
        <v>56</v>
      </c>
      <c r="G41" t="s">
        <v>20</v>
      </c>
      <c r="H41" t="s">
        <v>21</v>
      </c>
      <c r="I41" s="8">
        <v>43506</v>
      </c>
      <c r="J41" s="8">
        <v>45344</v>
      </c>
      <c r="K41" t="s">
        <v>36</v>
      </c>
      <c r="L41" s="9">
        <v>51100</v>
      </c>
      <c r="M41" s="10">
        <v>4</v>
      </c>
      <c r="N41" t="s">
        <v>23</v>
      </c>
    </row>
    <row r="42" spans="1:14">
      <c r="A42" t="s">
        <v>140</v>
      </c>
      <c r="B42" t="s">
        <v>141</v>
      </c>
      <c r="C42" t="s">
        <v>16</v>
      </c>
      <c r="D42" t="s">
        <v>26</v>
      </c>
      <c r="E42" t="s">
        <v>27</v>
      </c>
      <c r="F42" t="s">
        <v>61</v>
      </c>
      <c r="G42" t="s">
        <v>20</v>
      </c>
      <c r="H42" t="s">
        <v>21</v>
      </c>
      <c r="I42" s="8">
        <v>43375</v>
      </c>
      <c r="J42" s="8">
        <v>45632</v>
      </c>
      <c r="K42" t="s">
        <v>36</v>
      </c>
      <c r="L42" s="9">
        <v>37900</v>
      </c>
      <c r="M42" s="10">
        <v>4</v>
      </c>
      <c r="N42" t="s">
        <v>23</v>
      </c>
    </row>
    <row r="43" spans="1:14">
      <c r="A43" t="s">
        <v>142</v>
      </c>
      <c r="B43" t="s">
        <v>143</v>
      </c>
      <c r="C43" t="s">
        <v>31</v>
      </c>
      <c r="D43" t="s">
        <v>88</v>
      </c>
      <c r="E43" t="s">
        <v>27</v>
      </c>
      <c r="F43" t="s">
        <v>28</v>
      </c>
      <c r="G43" t="s">
        <v>20</v>
      </c>
      <c r="H43" t="s">
        <v>21</v>
      </c>
      <c r="I43" s="8">
        <v>43905</v>
      </c>
      <c r="J43" s="8"/>
      <c r="K43" t="s">
        <v>22</v>
      </c>
      <c r="L43" s="9">
        <v>40100</v>
      </c>
      <c r="M43" s="10">
        <v>5</v>
      </c>
      <c r="N43" t="s">
        <v>23</v>
      </c>
    </row>
    <row r="44" spans="1:14">
      <c r="A44" t="s">
        <v>144</v>
      </c>
      <c r="B44" t="s">
        <v>145</v>
      </c>
      <c r="C44" t="s">
        <v>31</v>
      </c>
      <c r="D44" t="s">
        <v>49</v>
      </c>
      <c r="E44" t="s">
        <v>18</v>
      </c>
      <c r="F44" t="s">
        <v>89</v>
      </c>
      <c r="G44" t="s">
        <v>40</v>
      </c>
      <c r="H44" t="s">
        <v>21</v>
      </c>
      <c r="I44" s="8">
        <v>45451</v>
      </c>
      <c r="J44" s="8"/>
      <c r="K44" t="s">
        <v>22</v>
      </c>
      <c r="L44" s="9">
        <v>50600</v>
      </c>
      <c r="M44" s="10">
        <v>4</v>
      </c>
      <c r="N44" t="s">
        <v>58</v>
      </c>
    </row>
    <row r="45" spans="1:14">
      <c r="A45" t="s">
        <v>146</v>
      </c>
      <c r="B45" t="s">
        <v>147</v>
      </c>
      <c r="C45" t="s">
        <v>31</v>
      </c>
      <c r="D45" t="s">
        <v>74</v>
      </c>
      <c r="E45" t="s">
        <v>33</v>
      </c>
      <c r="F45" t="s">
        <v>148</v>
      </c>
      <c r="G45" t="s">
        <v>57</v>
      </c>
      <c r="H45" t="s">
        <v>46</v>
      </c>
      <c r="I45" s="8">
        <v>45250</v>
      </c>
      <c r="J45" s="8"/>
      <c r="K45" t="s">
        <v>22</v>
      </c>
      <c r="L45" s="9">
        <v>51300</v>
      </c>
      <c r="M45" s="10">
        <v>5</v>
      </c>
      <c r="N45" t="s">
        <v>23</v>
      </c>
    </row>
    <row r="46" spans="1:14">
      <c r="A46" t="s">
        <v>149</v>
      </c>
      <c r="B46" t="s">
        <v>150</v>
      </c>
      <c r="C46" t="s">
        <v>31</v>
      </c>
      <c r="D46" t="s">
        <v>26</v>
      </c>
      <c r="E46" t="s">
        <v>44</v>
      </c>
      <c r="F46" t="s">
        <v>56</v>
      </c>
      <c r="G46" t="s">
        <v>40</v>
      </c>
      <c r="H46" t="s">
        <v>21</v>
      </c>
      <c r="I46" s="8">
        <v>43995</v>
      </c>
      <c r="J46" s="8"/>
      <c r="K46" t="s">
        <v>22</v>
      </c>
      <c r="L46" s="9">
        <v>38500</v>
      </c>
      <c r="M46" s="10">
        <v>2</v>
      </c>
      <c r="N46" t="s">
        <v>23</v>
      </c>
    </row>
    <row r="47" spans="1:14">
      <c r="A47" t="s">
        <v>151</v>
      </c>
      <c r="B47" t="s">
        <v>152</v>
      </c>
      <c r="C47" t="s">
        <v>31</v>
      </c>
      <c r="D47" t="s">
        <v>88</v>
      </c>
      <c r="E47" t="s">
        <v>27</v>
      </c>
      <c r="F47" t="s">
        <v>28</v>
      </c>
      <c r="G47" t="s">
        <v>20</v>
      </c>
      <c r="H47" t="s">
        <v>21</v>
      </c>
      <c r="I47" s="8">
        <v>43312</v>
      </c>
      <c r="J47" s="8"/>
      <c r="K47" t="s">
        <v>22</v>
      </c>
      <c r="L47" s="9">
        <v>39600</v>
      </c>
      <c r="M47" s="10">
        <v>5</v>
      </c>
      <c r="N47" t="s">
        <v>23</v>
      </c>
    </row>
    <row r="48" spans="1:14">
      <c r="A48" t="s">
        <v>153</v>
      </c>
      <c r="B48" t="s">
        <v>154</v>
      </c>
      <c r="C48" t="s">
        <v>31</v>
      </c>
      <c r="D48" t="s">
        <v>43</v>
      </c>
      <c r="E48" t="s">
        <v>64</v>
      </c>
      <c r="F48" t="s">
        <v>119</v>
      </c>
      <c r="G48" t="s">
        <v>57</v>
      </c>
      <c r="H48" t="s">
        <v>21</v>
      </c>
      <c r="I48" s="8">
        <v>44388</v>
      </c>
      <c r="J48" s="8"/>
      <c r="K48" t="s">
        <v>22</v>
      </c>
      <c r="L48" s="9">
        <v>51300</v>
      </c>
      <c r="M48" s="10">
        <v>4</v>
      </c>
      <c r="N48" t="s">
        <v>23</v>
      </c>
    </row>
    <row r="49" spans="1:14">
      <c r="A49" t="s">
        <v>155</v>
      </c>
      <c r="B49" t="s">
        <v>156</v>
      </c>
      <c r="C49" t="s">
        <v>31</v>
      </c>
      <c r="D49" t="s">
        <v>88</v>
      </c>
      <c r="E49" t="s">
        <v>70</v>
      </c>
      <c r="F49" t="s">
        <v>102</v>
      </c>
      <c r="G49" t="s">
        <v>35</v>
      </c>
      <c r="H49" t="s">
        <v>21</v>
      </c>
      <c r="I49" s="8">
        <v>43185</v>
      </c>
      <c r="J49" s="8"/>
      <c r="K49" t="s">
        <v>22</v>
      </c>
      <c r="L49" s="9">
        <v>28300</v>
      </c>
      <c r="M49" s="10">
        <v>5</v>
      </c>
      <c r="N49" t="s">
        <v>23</v>
      </c>
    </row>
    <row r="50" spans="1:14">
      <c r="A50" t="s">
        <v>157</v>
      </c>
      <c r="B50" t="s">
        <v>158</v>
      </c>
      <c r="C50" t="s">
        <v>31</v>
      </c>
      <c r="D50" t="s">
        <v>32</v>
      </c>
      <c r="E50" t="s">
        <v>70</v>
      </c>
      <c r="F50" t="s">
        <v>102</v>
      </c>
      <c r="G50" t="s">
        <v>40</v>
      </c>
      <c r="H50" t="s">
        <v>21</v>
      </c>
      <c r="I50" s="8">
        <v>44150</v>
      </c>
      <c r="J50" s="8"/>
      <c r="K50" t="s">
        <v>22</v>
      </c>
      <c r="L50" s="9">
        <v>21600</v>
      </c>
      <c r="M50" s="10">
        <v>4</v>
      </c>
      <c r="N50" t="s">
        <v>23</v>
      </c>
    </row>
    <row r="51" spans="1:14">
      <c r="A51" t="s">
        <v>159</v>
      </c>
      <c r="B51" t="s">
        <v>160</v>
      </c>
      <c r="C51" t="s">
        <v>16</v>
      </c>
      <c r="D51" t="s">
        <v>49</v>
      </c>
      <c r="E51" t="s">
        <v>18</v>
      </c>
      <c r="F51" t="s">
        <v>39</v>
      </c>
      <c r="G51" t="s">
        <v>40</v>
      </c>
      <c r="H51" t="s">
        <v>21</v>
      </c>
      <c r="I51" s="8">
        <v>43973</v>
      </c>
      <c r="J51" s="8"/>
      <c r="K51" t="s">
        <v>22</v>
      </c>
      <c r="L51" s="9">
        <v>55100</v>
      </c>
      <c r="M51" s="10">
        <v>1</v>
      </c>
      <c r="N51" t="s">
        <v>23</v>
      </c>
    </row>
    <row r="52" spans="1:14">
      <c r="A52" t="s">
        <v>161</v>
      </c>
      <c r="B52" t="s">
        <v>162</v>
      </c>
      <c r="C52" t="s">
        <v>16</v>
      </c>
      <c r="D52" t="s">
        <v>88</v>
      </c>
      <c r="E52" t="s">
        <v>18</v>
      </c>
      <c r="F52" t="s">
        <v>89</v>
      </c>
      <c r="G52" t="s">
        <v>57</v>
      </c>
      <c r="H52" t="s">
        <v>21</v>
      </c>
      <c r="I52" s="8">
        <v>43814</v>
      </c>
      <c r="J52" s="8"/>
      <c r="K52" t="s">
        <v>22</v>
      </c>
      <c r="L52" s="9">
        <v>72400</v>
      </c>
      <c r="M52" s="10">
        <v>4</v>
      </c>
      <c r="N52" t="s">
        <v>23</v>
      </c>
    </row>
    <row r="53" spans="1:14">
      <c r="A53" t="s">
        <v>163</v>
      </c>
      <c r="B53" t="s">
        <v>164</v>
      </c>
      <c r="C53" t="s">
        <v>31</v>
      </c>
      <c r="D53" t="s">
        <v>49</v>
      </c>
      <c r="E53" t="s">
        <v>52</v>
      </c>
      <c r="F53" t="s">
        <v>53</v>
      </c>
      <c r="G53" t="s">
        <v>35</v>
      </c>
      <c r="H53" t="s">
        <v>21</v>
      </c>
      <c r="I53" s="8">
        <v>44631</v>
      </c>
      <c r="J53" s="8">
        <v>45878</v>
      </c>
      <c r="K53" t="s">
        <v>36</v>
      </c>
      <c r="L53" s="9">
        <v>30600</v>
      </c>
      <c r="M53" s="10">
        <v>3</v>
      </c>
      <c r="N53" t="s">
        <v>23</v>
      </c>
    </row>
    <row r="54" spans="1:14">
      <c r="A54" t="s">
        <v>165</v>
      </c>
      <c r="B54" t="s">
        <v>166</v>
      </c>
      <c r="C54" t="s">
        <v>16</v>
      </c>
      <c r="D54" t="s">
        <v>26</v>
      </c>
      <c r="E54" t="s">
        <v>44</v>
      </c>
      <c r="F54" t="s">
        <v>56</v>
      </c>
      <c r="G54" t="s">
        <v>57</v>
      </c>
      <c r="H54" t="s">
        <v>21</v>
      </c>
      <c r="I54" s="8">
        <v>44354</v>
      </c>
      <c r="J54" s="8">
        <v>45981</v>
      </c>
      <c r="K54" t="s">
        <v>36</v>
      </c>
      <c r="L54" s="9">
        <v>25000</v>
      </c>
      <c r="M54" s="10">
        <v>4</v>
      </c>
      <c r="N54" t="s">
        <v>23</v>
      </c>
    </row>
    <row r="55" spans="1:14">
      <c r="A55" t="s">
        <v>167</v>
      </c>
      <c r="B55" t="s">
        <v>168</v>
      </c>
      <c r="C55" t="s">
        <v>16</v>
      </c>
      <c r="D55" t="s">
        <v>114</v>
      </c>
      <c r="E55" t="s">
        <v>27</v>
      </c>
      <c r="F55" t="s">
        <v>28</v>
      </c>
      <c r="G55" t="s">
        <v>57</v>
      </c>
      <c r="H55" t="s">
        <v>21</v>
      </c>
      <c r="I55" s="8">
        <v>43483</v>
      </c>
      <c r="J55" s="8">
        <v>45831</v>
      </c>
      <c r="K55" t="s">
        <v>36</v>
      </c>
      <c r="L55" s="9">
        <v>35100</v>
      </c>
      <c r="M55" s="10">
        <v>5</v>
      </c>
      <c r="N55" t="s">
        <v>23</v>
      </c>
    </row>
    <row r="56" spans="1:14">
      <c r="A56" t="s">
        <v>169</v>
      </c>
      <c r="B56" t="s">
        <v>170</v>
      </c>
      <c r="C56" t="s">
        <v>16</v>
      </c>
      <c r="D56" t="s">
        <v>26</v>
      </c>
      <c r="E56" t="s">
        <v>44</v>
      </c>
      <c r="F56" t="s">
        <v>133</v>
      </c>
      <c r="G56" t="s">
        <v>57</v>
      </c>
      <c r="H56" t="s">
        <v>21</v>
      </c>
      <c r="I56" s="8">
        <v>44270</v>
      </c>
      <c r="J56" s="8"/>
      <c r="K56" t="s">
        <v>22</v>
      </c>
      <c r="L56" s="9">
        <v>40200</v>
      </c>
      <c r="M56" s="10">
        <v>3</v>
      </c>
      <c r="N56" t="s">
        <v>58</v>
      </c>
    </row>
    <row r="57" spans="1:14">
      <c r="A57" t="s">
        <v>171</v>
      </c>
      <c r="B57" t="s">
        <v>172</v>
      </c>
      <c r="C57" t="s">
        <v>16</v>
      </c>
      <c r="D57" t="s">
        <v>114</v>
      </c>
      <c r="E57" t="s">
        <v>18</v>
      </c>
      <c r="F57" t="s">
        <v>19</v>
      </c>
      <c r="G57" t="s">
        <v>20</v>
      </c>
      <c r="H57" t="s">
        <v>21</v>
      </c>
      <c r="I57" s="8">
        <v>43851</v>
      </c>
      <c r="J57" s="8"/>
      <c r="K57" t="s">
        <v>22</v>
      </c>
      <c r="L57" s="9">
        <v>48900</v>
      </c>
      <c r="M57" s="10">
        <v>5</v>
      </c>
      <c r="N57" t="s">
        <v>23</v>
      </c>
    </row>
    <row r="58" spans="1:14">
      <c r="A58" t="s">
        <v>173</v>
      </c>
      <c r="B58" t="s">
        <v>174</v>
      </c>
      <c r="C58" t="s">
        <v>16</v>
      </c>
      <c r="D58" t="s">
        <v>88</v>
      </c>
      <c r="E58" t="s">
        <v>44</v>
      </c>
      <c r="F58" t="s">
        <v>56</v>
      </c>
      <c r="G58" t="s">
        <v>40</v>
      </c>
      <c r="H58" t="s">
        <v>21</v>
      </c>
      <c r="I58" s="8">
        <v>43735</v>
      </c>
      <c r="J58" s="8">
        <v>45888</v>
      </c>
      <c r="K58" t="s">
        <v>36</v>
      </c>
      <c r="L58" s="9">
        <v>30300</v>
      </c>
      <c r="M58" s="10">
        <v>4</v>
      </c>
      <c r="N58" t="s">
        <v>23</v>
      </c>
    </row>
    <row r="59" spans="1:14">
      <c r="A59" t="s">
        <v>175</v>
      </c>
      <c r="B59" t="s">
        <v>176</v>
      </c>
      <c r="C59" t="s">
        <v>16</v>
      </c>
      <c r="D59" t="s">
        <v>26</v>
      </c>
      <c r="E59" t="s">
        <v>44</v>
      </c>
      <c r="F59" t="s">
        <v>45</v>
      </c>
      <c r="G59" t="s">
        <v>20</v>
      </c>
      <c r="H59" t="s">
        <v>21</v>
      </c>
      <c r="I59" s="8">
        <v>43515</v>
      </c>
      <c r="J59" s="8"/>
      <c r="K59" t="s">
        <v>22</v>
      </c>
      <c r="L59" s="9">
        <v>39400</v>
      </c>
      <c r="M59" s="10">
        <v>3</v>
      </c>
      <c r="N59" t="s">
        <v>23</v>
      </c>
    </row>
    <row r="60" spans="1:14">
      <c r="A60" t="s">
        <v>177</v>
      </c>
      <c r="B60" t="s">
        <v>178</v>
      </c>
      <c r="C60" t="s">
        <v>16</v>
      </c>
      <c r="D60" t="s">
        <v>17</v>
      </c>
      <c r="E60" t="s">
        <v>52</v>
      </c>
      <c r="F60" t="s">
        <v>179</v>
      </c>
      <c r="G60" t="s">
        <v>57</v>
      </c>
      <c r="H60" t="s">
        <v>21</v>
      </c>
      <c r="I60" s="8">
        <v>43845</v>
      </c>
      <c r="J60" s="8">
        <v>45626</v>
      </c>
      <c r="K60" t="s">
        <v>36</v>
      </c>
      <c r="L60" s="9">
        <v>44000</v>
      </c>
      <c r="M60" s="10">
        <v>5</v>
      </c>
      <c r="N60" t="s">
        <v>23</v>
      </c>
    </row>
    <row r="61" spans="1:14">
      <c r="A61" t="s">
        <v>180</v>
      </c>
      <c r="B61" t="s">
        <v>181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s="8">
        <v>45194</v>
      </c>
      <c r="J61" s="8"/>
      <c r="K61" t="s">
        <v>22</v>
      </c>
      <c r="L61" s="9">
        <v>57100</v>
      </c>
      <c r="M61" s="10">
        <v>5</v>
      </c>
      <c r="N61" t="s">
        <v>23</v>
      </c>
    </row>
    <row r="62" spans="1:14">
      <c r="A62" t="s">
        <v>182</v>
      </c>
      <c r="B62" t="s">
        <v>183</v>
      </c>
      <c r="C62" t="s">
        <v>31</v>
      </c>
      <c r="D62" t="s">
        <v>26</v>
      </c>
      <c r="E62" t="s">
        <v>33</v>
      </c>
      <c r="F62" t="s">
        <v>148</v>
      </c>
      <c r="G62" t="s">
        <v>40</v>
      </c>
      <c r="H62" t="s">
        <v>21</v>
      </c>
      <c r="I62" s="8">
        <v>45916</v>
      </c>
      <c r="J62" s="8"/>
      <c r="K62" t="s">
        <v>22</v>
      </c>
      <c r="L62" s="9">
        <v>51300</v>
      </c>
      <c r="M62" s="10">
        <v>2</v>
      </c>
      <c r="N62" t="s">
        <v>23</v>
      </c>
    </row>
    <row r="63" spans="1:14">
      <c r="A63" t="s">
        <v>184</v>
      </c>
      <c r="B63" t="s">
        <v>185</v>
      </c>
      <c r="C63" t="s">
        <v>31</v>
      </c>
      <c r="D63" t="s">
        <v>114</v>
      </c>
      <c r="E63" t="s">
        <v>70</v>
      </c>
      <c r="F63" t="s">
        <v>105</v>
      </c>
      <c r="G63" t="s">
        <v>20</v>
      </c>
      <c r="H63" t="s">
        <v>21</v>
      </c>
      <c r="I63" s="8">
        <v>43900</v>
      </c>
      <c r="J63" s="8"/>
      <c r="K63" t="s">
        <v>22</v>
      </c>
      <c r="L63" s="9">
        <v>49800</v>
      </c>
      <c r="M63" s="10">
        <v>2</v>
      </c>
      <c r="N63" t="s">
        <v>58</v>
      </c>
    </row>
    <row r="64" spans="1:14">
      <c r="A64" t="s">
        <v>186</v>
      </c>
      <c r="B64" t="s">
        <v>187</v>
      </c>
      <c r="C64" t="s">
        <v>16</v>
      </c>
      <c r="D64" t="s">
        <v>17</v>
      </c>
      <c r="E64" t="s">
        <v>33</v>
      </c>
      <c r="F64" t="s">
        <v>34</v>
      </c>
      <c r="G64" t="s">
        <v>35</v>
      </c>
      <c r="H64" t="s">
        <v>21</v>
      </c>
      <c r="I64" s="8">
        <v>45101</v>
      </c>
      <c r="J64" s="8"/>
      <c r="K64" t="s">
        <v>22</v>
      </c>
      <c r="L64" s="9">
        <v>29900</v>
      </c>
      <c r="M64" s="10">
        <v>4</v>
      </c>
      <c r="N64" t="s">
        <v>23</v>
      </c>
    </row>
    <row r="65" spans="1:14">
      <c r="A65" t="s">
        <v>188</v>
      </c>
      <c r="B65" t="s">
        <v>189</v>
      </c>
      <c r="C65" t="s">
        <v>16</v>
      </c>
      <c r="D65" t="s">
        <v>17</v>
      </c>
      <c r="E65" t="s">
        <v>64</v>
      </c>
      <c r="F65" t="s">
        <v>65</v>
      </c>
      <c r="G65" t="s">
        <v>40</v>
      </c>
      <c r="H65" t="s">
        <v>21</v>
      </c>
      <c r="I65" s="8">
        <v>45075</v>
      </c>
      <c r="J65" s="8">
        <v>45818</v>
      </c>
      <c r="K65" t="s">
        <v>36</v>
      </c>
      <c r="L65" s="9">
        <v>40900</v>
      </c>
      <c r="M65" s="10">
        <v>3</v>
      </c>
      <c r="N65" t="s">
        <v>23</v>
      </c>
    </row>
    <row r="66" spans="1:14">
      <c r="A66" t="s">
        <v>190</v>
      </c>
      <c r="B66" t="s">
        <v>191</v>
      </c>
      <c r="C66" t="s">
        <v>16</v>
      </c>
      <c r="D66" t="s">
        <v>17</v>
      </c>
      <c r="E66" t="s">
        <v>70</v>
      </c>
      <c r="F66" t="s">
        <v>105</v>
      </c>
      <c r="G66" t="s">
        <v>20</v>
      </c>
      <c r="H66" t="s">
        <v>21</v>
      </c>
      <c r="I66" s="8">
        <v>43331</v>
      </c>
      <c r="J66" s="8">
        <v>45755</v>
      </c>
      <c r="K66" t="s">
        <v>36</v>
      </c>
      <c r="L66" s="9">
        <v>36100</v>
      </c>
      <c r="M66" s="10">
        <v>5</v>
      </c>
      <c r="N66" t="s">
        <v>23</v>
      </c>
    </row>
    <row r="67" spans="1:14">
      <c r="A67" t="s">
        <v>192</v>
      </c>
      <c r="B67" t="s">
        <v>193</v>
      </c>
      <c r="C67" t="s">
        <v>16</v>
      </c>
      <c r="D67" t="s">
        <v>32</v>
      </c>
      <c r="E67" t="s">
        <v>18</v>
      </c>
      <c r="F67" t="s">
        <v>39</v>
      </c>
      <c r="G67" t="s">
        <v>57</v>
      </c>
      <c r="H67" t="s">
        <v>46</v>
      </c>
      <c r="I67" s="8">
        <v>44484</v>
      </c>
      <c r="J67" s="8"/>
      <c r="K67" t="s">
        <v>22</v>
      </c>
      <c r="L67" s="9">
        <v>62700</v>
      </c>
      <c r="M67" s="10">
        <v>4</v>
      </c>
      <c r="N67" t="s">
        <v>23</v>
      </c>
    </row>
    <row r="68" spans="1:14">
      <c r="A68" t="s">
        <v>194</v>
      </c>
      <c r="B68" t="s">
        <v>195</v>
      </c>
      <c r="C68" t="s">
        <v>16</v>
      </c>
      <c r="D68" t="s">
        <v>74</v>
      </c>
      <c r="E68" t="s">
        <v>27</v>
      </c>
      <c r="F68" t="s">
        <v>75</v>
      </c>
      <c r="G68" t="s">
        <v>35</v>
      </c>
      <c r="H68" t="s">
        <v>21</v>
      </c>
      <c r="I68" s="8">
        <v>44649</v>
      </c>
      <c r="J68" s="8"/>
      <c r="K68" t="s">
        <v>22</v>
      </c>
      <c r="L68" s="9">
        <v>53200</v>
      </c>
      <c r="M68" s="10">
        <v>3</v>
      </c>
      <c r="N68" t="s">
        <v>23</v>
      </c>
    </row>
    <row r="69" spans="1:14">
      <c r="A69" t="s">
        <v>196</v>
      </c>
      <c r="B69" t="s">
        <v>197</v>
      </c>
      <c r="C69" t="s">
        <v>31</v>
      </c>
      <c r="D69" t="s">
        <v>26</v>
      </c>
      <c r="E69" t="s">
        <v>33</v>
      </c>
      <c r="F69" t="s">
        <v>148</v>
      </c>
      <c r="G69" t="s">
        <v>40</v>
      </c>
      <c r="H69" t="s">
        <v>198</v>
      </c>
      <c r="I69" s="8">
        <v>45695</v>
      </c>
      <c r="J69" s="8"/>
      <c r="K69" t="s">
        <v>22</v>
      </c>
      <c r="L69" s="9">
        <v>48500</v>
      </c>
      <c r="M69" s="10">
        <v>4</v>
      </c>
      <c r="N69" t="s">
        <v>23</v>
      </c>
    </row>
    <row r="70" spans="1:14">
      <c r="A70" t="s">
        <v>199</v>
      </c>
      <c r="B70" t="s">
        <v>200</v>
      </c>
      <c r="C70" t="s">
        <v>16</v>
      </c>
      <c r="D70" t="s">
        <v>74</v>
      </c>
      <c r="E70" t="s">
        <v>52</v>
      </c>
      <c r="F70" t="s">
        <v>126</v>
      </c>
      <c r="G70" t="s">
        <v>57</v>
      </c>
      <c r="H70" t="s">
        <v>21</v>
      </c>
      <c r="I70" s="8">
        <v>44471</v>
      </c>
      <c r="J70" s="8"/>
      <c r="K70" t="s">
        <v>22</v>
      </c>
      <c r="L70" s="9">
        <v>31200</v>
      </c>
      <c r="M70" s="10">
        <v>5</v>
      </c>
      <c r="N70" t="s">
        <v>23</v>
      </c>
    </row>
    <row r="71" spans="1:14">
      <c r="A71" t="s">
        <v>201</v>
      </c>
      <c r="B71" t="s">
        <v>202</v>
      </c>
      <c r="C71" t="s">
        <v>16</v>
      </c>
      <c r="D71" t="s">
        <v>49</v>
      </c>
      <c r="E71" t="s">
        <v>44</v>
      </c>
      <c r="F71" t="s">
        <v>45</v>
      </c>
      <c r="G71" t="s">
        <v>20</v>
      </c>
      <c r="H71" t="s">
        <v>21</v>
      </c>
      <c r="I71" s="8">
        <v>45649</v>
      </c>
      <c r="J71" s="8">
        <v>45775</v>
      </c>
      <c r="K71" t="s">
        <v>36</v>
      </c>
      <c r="L71" s="9">
        <v>54000</v>
      </c>
      <c r="M71" s="10">
        <v>5</v>
      </c>
      <c r="N71" t="s">
        <v>58</v>
      </c>
    </row>
    <row r="72" spans="1:14">
      <c r="A72" t="s">
        <v>203</v>
      </c>
      <c r="B72" t="s">
        <v>204</v>
      </c>
      <c r="C72" t="s">
        <v>16</v>
      </c>
      <c r="D72" t="s">
        <v>114</v>
      </c>
      <c r="E72" t="s">
        <v>64</v>
      </c>
      <c r="F72" t="s">
        <v>92</v>
      </c>
      <c r="G72" t="s">
        <v>20</v>
      </c>
      <c r="H72" t="s">
        <v>21</v>
      </c>
      <c r="I72" s="8">
        <v>45912</v>
      </c>
      <c r="J72" s="8"/>
      <c r="K72" t="s">
        <v>22</v>
      </c>
      <c r="L72" s="9">
        <v>35400</v>
      </c>
      <c r="M72" s="10">
        <v>5</v>
      </c>
      <c r="N72" t="s">
        <v>58</v>
      </c>
    </row>
    <row r="73" spans="1:14">
      <c r="A73" t="s">
        <v>205</v>
      </c>
      <c r="B73" t="s">
        <v>206</v>
      </c>
      <c r="C73" t="s">
        <v>16</v>
      </c>
      <c r="D73" t="s">
        <v>43</v>
      </c>
      <c r="E73" t="s">
        <v>52</v>
      </c>
      <c r="F73" t="s">
        <v>53</v>
      </c>
      <c r="G73" t="s">
        <v>40</v>
      </c>
      <c r="H73" t="s">
        <v>46</v>
      </c>
      <c r="I73" s="8">
        <v>44705</v>
      </c>
      <c r="J73" s="8"/>
      <c r="K73" t="s">
        <v>22</v>
      </c>
      <c r="L73" s="9">
        <v>31700</v>
      </c>
      <c r="M73" s="10">
        <v>3</v>
      </c>
      <c r="N73" t="s">
        <v>58</v>
      </c>
    </row>
    <row r="74" spans="1:14">
      <c r="A74" t="s">
        <v>207</v>
      </c>
      <c r="B74" t="s">
        <v>208</v>
      </c>
      <c r="C74" t="s">
        <v>31</v>
      </c>
      <c r="D74" t="s">
        <v>114</v>
      </c>
      <c r="E74" t="s">
        <v>70</v>
      </c>
      <c r="F74" t="s">
        <v>105</v>
      </c>
      <c r="G74" t="s">
        <v>57</v>
      </c>
      <c r="H74" t="s">
        <v>21</v>
      </c>
      <c r="I74" s="8">
        <v>45528</v>
      </c>
      <c r="J74" s="8"/>
      <c r="K74" t="s">
        <v>22</v>
      </c>
      <c r="L74" s="9">
        <v>37500</v>
      </c>
      <c r="M74" s="10">
        <v>2</v>
      </c>
      <c r="N74" t="s">
        <v>58</v>
      </c>
    </row>
    <row r="75" spans="1:14">
      <c r="A75" t="s">
        <v>209</v>
      </c>
      <c r="B75" t="s">
        <v>210</v>
      </c>
      <c r="C75" t="s">
        <v>16</v>
      </c>
      <c r="D75" t="s">
        <v>88</v>
      </c>
      <c r="E75" t="s">
        <v>52</v>
      </c>
      <c r="F75" t="s">
        <v>126</v>
      </c>
      <c r="G75" t="s">
        <v>20</v>
      </c>
      <c r="H75" t="s">
        <v>46</v>
      </c>
      <c r="I75" s="8">
        <v>44764</v>
      </c>
      <c r="J75" s="8"/>
      <c r="K75" t="s">
        <v>22</v>
      </c>
      <c r="L75" s="9">
        <v>39400</v>
      </c>
      <c r="M75" s="10">
        <v>5</v>
      </c>
      <c r="N75" t="s">
        <v>58</v>
      </c>
    </row>
    <row r="76" spans="1:14">
      <c r="A76" t="s">
        <v>211</v>
      </c>
      <c r="B76" t="s">
        <v>212</v>
      </c>
      <c r="C76" t="s">
        <v>31</v>
      </c>
      <c r="D76" t="s">
        <v>32</v>
      </c>
      <c r="E76" t="s">
        <v>70</v>
      </c>
      <c r="F76" t="s">
        <v>105</v>
      </c>
      <c r="G76" t="s">
        <v>57</v>
      </c>
      <c r="H76" t="s">
        <v>21</v>
      </c>
      <c r="I76" s="8">
        <v>45163</v>
      </c>
      <c r="J76" s="8"/>
      <c r="K76" t="s">
        <v>22</v>
      </c>
      <c r="L76" s="9">
        <v>39700</v>
      </c>
      <c r="M76" s="10">
        <v>3</v>
      </c>
      <c r="N76" t="s">
        <v>58</v>
      </c>
    </row>
    <row r="77" spans="1:14">
      <c r="A77" t="s">
        <v>213</v>
      </c>
      <c r="B77" t="s">
        <v>214</v>
      </c>
      <c r="C77" t="s">
        <v>31</v>
      </c>
      <c r="D77" t="s">
        <v>74</v>
      </c>
      <c r="E77" t="s">
        <v>70</v>
      </c>
      <c r="F77" t="s">
        <v>105</v>
      </c>
      <c r="G77" t="s">
        <v>57</v>
      </c>
      <c r="H77" t="s">
        <v>21</v>
      </c>
      <c r="I77" s="8">
        <v>44993</v>
      </c>
      <c r="J77" s="8"/>
      <c r="K77" t="s">
        <v>22</v>
      </c>
      <c r="L77" s="9">
        <v>56300</v>
      </c>
      <c r="M77" s="10">
        <v>2</v>
      </c>
      <c r="N77" t="s">
        <v>23</v>
      </c>
    </row>
    <row r="78" spans="1:14">
      <c r="A78" t="s">
        <v>215</v>
      </c>
      <c r="B78" t="s">
        <v>216</v>
      </c>
      <c r="C78" t="s">
        <v>16</v>
      </c>
      <c r="D78" t="s">
        <v>26</v>
      </c>
      <c r="E78" t="s">
        <v>44</v>
      </c>
      <c r="F78" t="s">
        <v>56</v>
      </c>
      <c r="G78" t="s">
        <v>35</v>
      </c>
      <c r="H78" t="s">
        <v>46</v>
      </c>
      <c r="I78" s="8">
        <v>44416</v>
      </c>
      <c r="J78" s="8"/>
      <c r="K78" t="s">
        <v>22</v>
      </c>
      <c r="L78" s="9">
        <v>18000</v>
      </c>
      <c r="M78" s="10">
        <v>1</v>
      </c>
      <c r="N78" t="s">
        <v>23</v>
      </c>
    </row>
    <row r="79" spans="1:14">
      <c r="A79" t="s">
        <v>217</v>
      </c>
      <c r="B79" t="s">
        <v>218</v>
      </c>
      <c r="C79" t="s">
        <v>16</v>
      </c>
      <c r="D79" t="s">
        <v>88</v>
      </c>
      <c r="E79" t="s">
        <v>70</v>
      </c>
      <c r="F79" t="s">
        <v>102</v>
      </c>
      <c r="G79" t="s">
        <v>20</v>
      </c>
      <c r="H79" t="s">
        <v>21</v>
      </c>
      <c r="I79" s="8">
        <v>44950</v>
      </c>
      <c r="J79" s="8">
        <v>45619</v>
      </c>
      <c r="K79" t="s">
        <v>36</v>
      </c>
      <c r="L79" s="9">
        <v>27700</v>
      </c>
      <c r="M79" s="10">
        <v>4</v>
      </c>
      <c r="N79" t="s">
        <v>23</v>
      </c>
    </row>
    <row r="80" spans="1:14">
      <c r="A80" t="s">
        <v>219</v>
      </c>
      <c r="B80" t="s">
        <v>220</v>
      </c>
      <c r="C80" t="s">
        <v>16</v>
      </c>
      <c r="D80" t="s">
        <v>88</v>
      </c>
      <c r="E80" t="s">
        <v>44</v>
      </c>
      <c r="F80" t="s">
        <v>45</v>
      </c>
      <c r="G80" t="s">
        <v>40</v>
      </c>
      <c r="H80" t="s">
        <v>21</v>
      </c>
      <c r="I80" s="8">
        <v>43767</v>
      </c>
      <c r="J80" s="8"/>
      <c r="K80" t="s">
        <v>22</v>
      </c>
      <c r="L80" s="9">
        <v>39400</v>
      </c>
      <c r="M80" s="10">
        <v>5</v>
      </c>
      <c r="N80" t="s">
        <v>23</v>
      </c>
    </row>
    <row r="81" spans="1:14">
      <c r="A81" t="s">
        <v>221</v>
      </c>
      <c r="B81" t="s">
        <v>222</v>
      </c>
      <c r="C81" t="s">
        <v>31</v>
      </c>
      <c r="D81" t="s">
        <v>43</v>
      </c>
      <c r="E81" t="s">
        <v>27</v>
      </c>
      <c r="F81" t="s">
        <v>28</v>
      </c>
      <c r="G81" t="s">
        <v>40</v>
      </c>
      <c r="H81" t="s">
        <v>21</v>
      </c>
      <c r="I81" s="8">
        <v>43786</v>
      </c>
      <c r="J81" s="8"/>
      <c r="K81" t="s">
        <v>22</v>
      </c>
      <c r="L81" s="9">
        <v>58900</v>
      </c>
      <c r="M81" s="10">
        <v>4</v>
      </c>
      <c r="N81" t="s">
        <v>23</v>
      </c>
    </row>
    <row r="82" spans="1:14">
      <c r="A82" t="s">
        <v>223</v>
      </c>
      <c r="B82" t="s">
        <v>224</v>
      </c>
      <c r="C82" t="s">
        <v>16</v>
      </c>
      <c r="D82" t="s">
        <v>49</v>
      </c>
      <c r="E82" t="s">
        <v>64</v>
      </c>
      <c r="F82" t="s">
        <v>92</v>
      </c>
      <c r="G82" t="s">
        <v>40</v>
      </c>
      <c r="H82" t="s">
        <v>21</v>
      </c>
      <c r="I82" s="8">
        <v>44382</v>
      </c>
      <c r="J82" s="8"/>
      <c r="K82" t="s">
        <v>22</v>
      </c>
      <c r="L82" s="9">
        <v>29200</v>
      </c>
      <c r="M82" s="10">
        <v>3</v>
      </c>
      <c r="N82" t="s">
        <v>23</v>
      </c>
    </row>
    <row r="83" spans="1:14">
      <c r="A83" t="s">
        <v>225</v>
      </c>
      <c r="B83" t="s">
        <v>226</v>
      </c>
      <c r="C83" t="s">
        <v>31</v>
      </c>
      <c r="D83" t="s">
        <v>49</v>
      </c>
      <c r="E83" t="s">
        <v>27</v>
      </c>
      <c r="F83" t="s">
        <v>28</v>
      </c>
      <c r="G83" t="s">
        <v>35</v>
      </c>
      <c r="H83" t="s">
        <v>21</v>
      </c>
      <c r="I83" s="8">
        <v>44234</v>
      </c>
      <c r="J83" s="8"/>
      <c r="K83" t="s">
        <v>22</v>
      </c>
      <c r="L83" s="9">
        <v>58300</v>
      </c>
      <c r="M83" s="10">
        <v>3</v>
      </c>
      <c r="N83" t="s">
        <v>23</v>
      </c>
    </row>
    <row r="84" spans="1:14">
      <c r="A84" t="s">
        <v>227</v>
      </c>
      <c r="B84" t="s">
        <v>228</v>
      </c>
      <c r="C84" t="s">
        <v>16</v>
      </c>
      <c r="D84" t="s">
        <v>43</v>
      </c>
      <c r="E84" t="s">
        <v>70</v>
      </c>
      <c r="F84" t="s">
        <v>102</v>
      </c>
      <c r="G84" t="s">
        <v>40</v>
      </c>
      <c r="H84" t="s">
        <v>21</v>
      </c>
      <c r="I84" s="8">
        <v>44539</v>
      </c>
      <c r="J84" s="8">
        <v>44862</v>
      </c>
      <c r="K84" t="s">
        <v>36</v>
      </c>
      <c r="L84" s="9">
        <v>35500</v>
      </c>
      <c r="M84" s="10">
        <v>5</v>
      </c>
      <c r="N84" t="s">
        <v>23</v>
      </c>
    </row>
    <row r="85" spans="1:14">
      <c r="A85" t="s">
        <v>229</v>
      </c>
      <c r="B85" t="s">
        <v>230</v>
      </c>
      <c r="C85" t="s">
        <v>16</v>
      </c>
      <c r="D85" t="s">
        <v>43</v>
      </c>
      <c r="E85" t="s">
        <v>64</v>
      </c>
      <c r="F85" t="s">
        <v>92</v>
      </c>
      <c r="G85" t="s">
        <v>20</v>
      </c>
      <c r="H85" t="s">
        <v>21</v>
      </c>
      <c r="I85" s="8">
        <v>43328</v>
      </c>
      <c r="J85" s="8"/>
      <c r="K85" t="s">
        <v>22</v>
      </c>
      <c r="L85" s="9">
        <v>30900</v>
      </c>
      <c r="M85" s="10">
        <v>3</v>
      </c>
      <c r="N85" t="s">
        <v>58</v>
      </c>
    </row>
    <row r="86" spans="1:14">
      <c r="A86" t="s">
        <v>231</v>
      </c>
      <c r="B86" t="s">
        <v>232</v>
      </c>
      <c r="C86" t="s">
        <v>31</v>
      </c>
      <c r="D86" t="s">
        <v>17</v>
      </c>
      <c r="E86" t="s">
        <v>27</v>
      </c>
      <c r="F86" t="s">
        <v>75</v>
      </c>
      <c r="G86" t="s">
        <v>40</v>
      </c>
      <c r="H86" t="s">
        <v>21</v>
      </c>
      <c r="I86" s="8">
        <v>43303</v>
      </c>
      <c r="J86" s="8"/>
      <c r="K86" t="s">
        <v>22</v>
      </c>
      <c r="L86" s="9">
        <v>59400</v>
      </c>
      <c r="M86" s="10">
        <v>5</v>
      </c>
      <c r="N86" t="s">
        <v>23</v>
      </c>
    </row>
    <row r="87" spans="1:14">
      <c r="A87" t="s">
        <v>233</v>
      </c>
      <c r="B87" t="s">
        <v>234</v>
      </c>
      <c r="C87" t="s">
        <v>16</v>
      </c>
      <c r="D87" t="s">
        <v>32</v>
      </c>
      <c r="E87" t="s">
        <v>52</v>
      </c>
      <c r="F87" t="s">
        <v>53</v>
      </c>
      <c r="G87" t="s">
        <v>57</v>
      </c>
      <c r="H87" t="s">
        <v>21</v>
      </c>
      <c r="I87" s="8">
        <v>43924</v>
      </c>
      <c r="J87" s="8"/>
      <c r="K87" t="s">
        <v>22</v>
      </c>
      <c r="L87" s="9">
        <v>30200</v>
      </c>
      <c r="M87" s="10">
        <v>3</v>
      </c>
      <c r="N87" t="s">
        <v>23</v>
      </c>
    </row>
    <row r="88" spans="1:14">
      <c r="A88" t="s">
        <v>235</v>
      </c>
      <c r="B88" t="s">
        <v>236</v>
      </c>
      <c r="C88" t="s">
        <v>31</v>
      </c>
      <c r="D88" t="s">
        <v>32</v>
      </c>
      <c r="E88" t="s">
        <v>64</v>
      </c>
      <c r="F88" t="s">
        <v>65</v>
      </c>
      <c r="G88" t="s">
        <v>40</v>
      </c>
      <c r="H88" t="s">
        <v>21</v>
      </c>
      <c r="I88" s="8">
        <v>43685</v>
      </c>
      <c r="J88" s="8"/>
      <c r="K88" t="s">
        <v>22</v>
      </c>
      <c r="L88" s="9">
        <v>41100</v>
      </c>
      <c r="M88" s="10">
        <v>4</v>
      </c>
      <c r="N88" t="s">
        <v>23</v>
      </c>
    </row>
    <row r="89" spans="1:14">
      <c r="A89" t="s">
        <v>237</v>
      </c>
      <c r="B89" t="s">
        <v>238</v>
      </c>
      <c r="C89" t="s">
        <v>31</v>
      </c>
      <c r="D89" t="s">
        <v>26</v>
      </c>
      <c r="E89" t="s">
        <v>27</v>
      </c>
      <c r="F89" t="s">
        <v>28</v>
      </c>
      <c r="G89" t="s">
        <v>57</v>
      </c>
      <c r="H89" t="s">
        <v>21</v>
      </c>
      <c r="I89" s="8">
        <v>44051</v>
      </c>
      <c r="J89" s="8"/>
      <c r="K89" t="s">
        <v>22</v>
      </c>
      <c r="L89" s="9">
        <v>46700</v>
      </c>
      <c r="M89" s="10">
        <v>4</v>
      </c>
      <c r="N89" t="s">
        <v>58</v>
      </c>
    </row>
    <row r="90" spans="1:14">
      <c r="A90" t="s">
        <v>239</v>
      </c>
      <c r="B90" t="s">
        <v>240</v>
      </c>
      <c r="C90" t="s">
        <v>31</v>
      </c>
      <c r="D90" t="s">
        <v>26</v>
      </c>
      <c r="E90" t="s">
        <v>64</v>
      </c>
      <c r="F90" t="s">
        <v>92</v>
      </c>
      <c r="G90" t="s">
        <v>40</v>
      </c>
      <c r="H90" t="s">
        <v>21</v>
      </c>
      <c r="I90" s="8">
        <v>43709</v>
      </c>
      <c r="J90" s="8"/>
      <c r="K90" t="s">
        <v>22</v>
      </c>
      <c r="L90" s="9">
        <v>33500</v>
      </c>
      <c r="M90" s="10">
        <v>4</v>
      </c>
      <c r="N90" t="s">
        <v>58</v>
      </c>
    </row>
    <row r="91" spans="1:14">
      <c r="A91" t="s">
        <v>241</v>
      </c>
      <c r="B91" t="s">
        <v>242</v>
      </c>
      <c r="C91" t="s">
        <v>31</v>
      </c>
      <c r="D91" t="s">
        <v>88</v>
      </c>
      <c r="E91" t="s">
        <v>70</v>
      </c>
      <c r="F91" t="s">
        <v>102</v>
      </c>
      <c r="G91" t="s">
        <v>57</v>
      </c>
      <c r="H91" t="s">
        <v>21</v>
      </c>
      <c r="I91" s="8">
        <v>45505</v>
      </c>
      <c r="J91" s="8"/>
      <c r="K91" t="s">
        <v>22</v>
      </c>
      <c r="L91" s="9">
        <v>23900</v>
      </c>
      <c r="M91" s="10">
        <v>3</v>
      </c>
      <c r="N91" t="s">
        <v>58</v>
      </c>
    </row>
    <row r="92" spans="1:14">
      <c r="A92" t="s">
        <v>243</v>
      </c>
      <c r="B92" t="s">
        <v>244</v>
      </c>
      <c r="C92" t="s">
        <v>31</v>
      </c>
      <c r="D92" t="s">
        <v>17</v>
      </c>
      <c r="E92" t="s">
        <v>27</v>
      </c>
      <c r="F92" t="s">
        <v>28</v>
      </c>
      <c r="G92" t="s">
        <v>40</v>
      </c>
      <c r="H92" t="s">
        <v>198</v>
      </c>
      <c r="I92" s="8">
        <v>44588</v>
      </c>
      <c r="J92" s="8"/>
      <c r="K92" t="s">
        <v>22</v>
      </c>
      <c r="L92" s="9">
        <v>37600</v>
      </c>
      <c r="M92" s="10">
        <v>3</v>
      </c>
      <c r="N92" t="s">
        <v>23</v>
      </c>
    </row>
    <row r="93" spans="1:14">
      <c r="A93" t="s">
        <v>245</v>
      </c>
      <c r="B93" t="s">
        <v>246</v>
      </c>
      <c r="C93" t="s">
        <v>31</v>
      </c>
      <c r="D93" t="s">
        <v>88</v>
      </c>
      <c r="E93" t="s">
        <v>70</v>
      </c>
      <c r="F93" t="s">
        <v>71</v>
      </c>
      <c r="G93" t="s">
        <v>40</v>
      </c>
      <c r="H93" t="s">
        <v>21</v>
      </c>
      <c r="I93" s="8">
        <v>43635</v>
      </c>
      <c r="J93" s="8"/>
      <c r="K93" t="s">
        <v>22</v>
      </c>
      <c r="L93" s="9">
        <v>27900</v>
      </c>
      <c r="M93" s="10">
        <v>3</v>
      </c>
      <c r="N93" t="s">
        <v>23</v>
      </c>
    </row>
    <row r="94" spans="1:14">
      <c r="A94" t="s">
        <v>247</v>
      </c>
      <c r="B94" t="s">
        <v>248</v>
      </c>
      <c r="C94" t="s">
        <v>31</v>
      </c>
      <c r="D94" t="s">
        <v>32</v>
      </c>
      <c r="E94" t="s">
        <v>27</v>
      </c>
      <c r="F94" t="s">
        <v>61</v>
      </c>
      <c r="G94" t="s">
        <v>35</v>
      </c>
      <c r="H94" t="s">
        <v>21</v>
      </c>
      <c r="I94" s="8">
        <v>43338</v>
      </c>
      <c r="J94" s="8"/>
      <c r="K94" t="s">
        <v>22</v>
      </c>
      <c r="L94" s="9">
        <v>45300</v>
      </c>
      <c r="M94" s="10">
        <v>4</v>
      </c>
      <c r="N94" t="s">
        <v>23</v>
      </c>
    </row>
    <row r="95" spans="1:14">
      <c r="A95" t="s">
        <v>249</v>
      </c>
      <c r="B95" t="s">
        <v>250</v>
      </c>
      <c r="C95" t="s">
        <v>16</v>
      </c>
      <c r="D95" t="s">
        <v>32</v>
      </c>
      <c r="E95" t="s">
        <v>70</v>
      </c>
      <c r="F95" t="s">
        <v>102</v>
      </c>
      <c r="G95" t="s">
        <v>35</v>
      </c>
      <c r="H95" t="s">
        <v>21</v>
      </c>
      <c r="I95" s="8">
        <v>45468</v>
      </c>
      <c r="J95" s="8"/>
      <c r="K95" t="s">
        <v>22</v>
      </c>
      <c r="L95" s="9">
        <v>18000</v>
      </c>
      <c r="M95" s="10">
        <v>4</v>
      </c>
      <c r="N95" t="s">
        <v>58</v>
      </c>
    </row>
    <row r="96" spans="1:14">
      <c r="A96" t="s">
        <v>251</v>
      </c>
      <c r="B96" t="s">
        <v>252</v>
      </c>
      <c r="C96" t="s">
        <v>16</v>
      </c>
      <c r="D96" t="s">
        <v>26</v>
      </c>
      <c r="E96" t="s">
        <v>18</v>
      </c>
      <c r="F96" t="s">
        <v>89</v>
      </c>
      <c r="G96" t="s">
        <v>35</v>
      </c>
      <c r="H96" t="s">
        <v>21</v>
      </c>
      <c r="I96" s="8">
        <v>45222</v>
      </c>
      <c r="J96" s="8"/>
      <c r="K96" t="s">
        <v>22</v>
      </c>
      <c r="L96" s="9">
        <v>58700</v>
      </c>
      <c r="M96" s="10">
        <v>5</v>
      </c>
      <c r="N96" t="s">
        <v>23</v>
      </c>
    </row>
    <row r="97" spans="1:14">
      <c r="A97" t="s">
        <v>253</v>
      </c>
      <c r="B97" t="s">
        <v>254</v>
      </c>
      <c r="C97" t="s">
        <v>16</v>
      </c>
      <c r="D97" t="s">
        <v>114</v>
      </c>
      <c r="E97" t="s">
        <v>27</v>
      </c>
      <c r="F97" t="s">
        <v>75</v>
      </c>
      <c r="G97" t="s">
        <v>20</v>
      </c>
      <c r="H97" t="s">
        <v>21</v>
      </c>
      <c r="I97" s="8">
        <v>45028</v>
      </c>
      <c r="J97" s="8"/>
      <c r="K97" t="s">
        <v>22</v>
      </c>
      <c r="L97" s="9">
        <v>41100</v>
      </c>
      <c r="M97" s="10">
        <v>4</v>
      </c>
      <c r="N97" t="s">
        <v>23</v>
      </c>
    </row>
    <row r="98" spans="1:14">
      <c r="A98" t="s">
        <v>255</v>
      </c>
      <c r="B98" t="s">
        <v>256</v>
      </c>
      <c r="C98" t="s">
        <v>31</v>
      </c>
      <c r="D98" t="s">
        <v>88</v>
      </c>
      <c r="E98" t="s">
        <v>18</v>
      </c>
      <c r="F98" t="s">
        <v>19</v>
      </c>
      <c r="G98" t="s">
        <v>35</v>
      </c>
      <c r="H98" t="s">
        <v>21</v>
      </c>
      <c r="I98" s="8">
        <v>44023</v>
      </c>
      <c r="J98" s="8"/>
      <c r="K98" t="s">
        <v>22</v>
      </c>
      <c r="L98" s="9">
        <v>56600</v>
      </c>
      <c r="M98" s="10">
        <v>2</v>
      </c>
      <c r="N98" t="s">
        <v>58</v>
      </c>
    </row>
    <row r="99" spans="1:14">
      <c r="A99" t="s">
        <v>257</v>
      </c>
      <c r="B99" t="s">
        <v>258</v>
      </c>
      <c r="C99" t="s">
        <v>31</v>
      </c>
      <c r="D99" t="s">
        <v>74</v>
      </c>
      <c r="E99" t="s">
        <v>44</v>
      </c>
      <c r="F99" t="s">
        <v>56</v>
      </c>
      <c r="G99" t="s">
        <v>57</v>
      </c>
      <c r="H99" t="s">
        <v>198</v>
      </c>
      <c r="I99" s="8">
        <v>44727</v>
      </c>
      <c r="J99" s="8"/>
      <c r="K99" t="s">
        <v>22</v>
      </c>
      <c r="L99" s="9">
        <v>37200</v>
      </c>
      <c r="M99" s="10">
        <v>4</v>
      </c>
      <c r="N99" t="s">
        <v>23</v>
      </c>
    </row>
    <row r="100" spans="1:14">
      <c r="A100" t="s">
        <v>259</v>
      </c>
      <c r="B100" t="s">
        <v>260</v>
      </c>
      <c r="C100" t="s">
        <v>16</v>
      </c>
      <c r="D100" t="s">
        <v>32</v>
      </c>
      <c r="E100" t="s">
        <v>27</v>
      </c>
      <c r="F100" t="s">
        <v>75</v>
      </c>
      <c r="G100" t="s">
        <v>57</v>
      </c>
      <c r="H100" t="s">
        <v>21</v>
      </c>
      <c r="I100" s="8">
        <v>44734</v>
      </c>
      <c r="J100" s="8"/>
      <c r="K100" t="s">
        <v>22</v>
      </c>
      <c r="L100" s="9">
        <v>36500</v>
      </c>
      <c r="M100" s="10">
        <v>3</v>
      </c>
      <c r="N100" t="s">
        <v>23</v>
      </c>
    </row>
    <row r="101" spans="1:14">
      <c r="A101" t="s">
        <v>261</v>
      </c>
      <c r="B101" t="s">
        <v>262</v>
      </c>
      <c r="C101" t="s">
        <v>16</v>
      </c>
      <c r="D101" t="s">
        <v>43</v>
      </c>
      <c r="E101" t="s">
        <v>18</v>
      </c>
      <c r="F101" t="s">
        <v>19</v>
      </c>
      <c r="G101" t="s">
        <v>57</v>
      </c>
      <c r="H101" t="s">
        <v>21</v>
      </c>
      <c r="I101" s="8">
        <v>44451</v>
      </c>
      <c r="J101" s="8"/>
      <c r="K101" t="s">
        <v>22</v>
      </c>
      <c r="L101" s="9">
        <v>55200</v>
      </c>
      <c r="M101" s="10">
        <v>1</v>
      </c>
      <c r="N101" t="s">
        <v>23</v>
      </c>
    </row>
    <row r="102" spans="1:14">
      <c r="A102" t="s">
        <v>263</v>
      </c>
      <c r="B102" t="s">
        <v>264</v>
      </c>
      <c r="C102" t="s">
        <v>16</v>
      </c>
      <c r="D102" t="s">
        <v>17</v>
      </c>
      <c r="E102" t="s">
        <v>70</v>
      </c>
      <c r="F102" t="s">
        <v>71</v>
      </c>
      <c r="G102" t="s">
        <v>20</v>
      </c>
      <c r="H102" t="s">
        <v>21</v>
      </c>
      <c r="I102" s="8">
        <v>45876</v>
      </c>
      <c r="J102" s="8"/>
      <c r="K102" t="s">
        <v>22</v>
      </c>
      <c r="L102" s="9">
        <v>41300</v>
      </c>
      <c r="M102" s="10">
        <v>5</v>
      </c>
      <c r="N102" t="s">
        <v>23</v>
      </c>
    </row>
    <row r="103" spans="1:14">
      <c r="A103" t="s">
        <v>265</v>
      </c>
      <c r="B103" t="s">
        <v>266</v>
      </c>
      <c r="C103" t="s">
        <v>31</v>
      </c>
      <c r="D103" t="s">
        <v>88</v>
      </c>
      <c r="E103" t="s">
        <v>33</v>
      </c>
      <c r="F103" t="s">
        <v>148</v>
      </c>
      <c r="G103" t="s">
        <v>40</v>
      </c>
      <c r="H103" t="s">
        <v>21</v>
      </c>
      <c r="I103" s="8">
        <v>45430</v>
      </c>
      <c r="J103" s="8">
        <v>45571</v>
      </c>
      <c r="K103" t="s">
        <v>36</v>
      </c>
      <c r="L103" s="9">
        <v>45300</v>
      </c>
      <c r="M103" s="10">
        <v>2</v>
      </c>
      <c r="N103" t="s">
        <v>23</v>
      </c>
    </row>
    <row r="104" spans="1:14">
      <c r="A104" t="s">
        <v>267</v>
      </c>
      <c r="B104" t="s">
        <v>268</v>
      </c>
      <c r="C104" t="s">
        <v>16</v>
      </c>
      <c r="D104" t="s">
        <v>74</v>
      </c>
      <c r="E104" t="s">
        <v>70</v>
      </c>
      <c r="F104" t="s">
        <v>105</v>
      </c>
      <c r="G104" t="s">
        <v>40</v>
      </c>
      <c r="H104" t="s">
        <v>21</v>
      </c>
      <c r="I104" s="8">
        <v>44689</v>
      </c>
      <c r="J104" s="8"/>
      <c r="K104" t="s">
        <v>22</v>
      </c>
      <c r="L104" s="9">
        <v>43500</v>
      </c>
      <c r="M104" s="10">
        <v>3</v>
      </c>
      <c r="N104" t="s">
        <v>58</v>
      </c>
    </row>
    <row r="105" spans="1:14">
      <c r="A105" t="s">
        <v>269</v>
      </c>
      <c r="B105" t="s">
        <v>270</v>
      </c>
      <c r="C105" t="s">
        <v>16</v>
      </c>
      <c r="D105" t="s">
        <v>32</v>
      </c>
      <c r="E105" t="s">
        <v>64</v>
      </c>
      <c r="F105" t="s">
        <v>92</v>
      </c>
      <c r="G105" t="s">
        <v>20</v>
      </c>
      <c r="H105" t="s">
        <v>21</v>
      </c>
      <c r="I105" s="8">
        <v>44155</v>
      </c>
      <c r="J105" s="8"/>
      <c r="K105" t="s">
        <v>22</v>
      </c>
      <c r="L105" s="9">
        <v>37900</v>
      </c>
      <c r="M105" s="10">
        <v>4</v>
      </c>
      <c r="N105" t="s">
        <v>23</v>
      </c>
    </row>
    <row r="106" spans="1:14">
      <c r="A106" t="s">
        <v>271</v>
      </c>
      <c r="B106" t="s">
        <v>272</v>
      </c>
      <c r="C106" t="s">
        <v>16</v>
      </c>
      <c r="D106" t="s">
        <v>32</v>
      </c>
      <c r="E106" t="s">
        <v>18</v>
      </c>
      <c r="F106" t="s">
        <v>19</v>
      </c>
      <c r="G106" t="s">
        <v>57</v>
      </c>
      <c r="H106" t="s">
        <v>21</v>
      </c>
      <c r="I106" s="8">
        <v>45095</v>
      </c>
      <c r="J106" s="8"/>
      <c r="K106" t="s">
        <v>22</v>
      </c>
      <c r="L106" s="9">
        <v>45900</v>
      </c>
      <c r="M106" s="10">
        <v>5</v>
      </c>
      <c r="N106" t="s">
        <v>23</v>
      </c>
    </row>
    <row r="107" spans="1:14">
      <c r="A107" t="s">
        <v>273</v>
      </c>
      <c r="B107" t="s">
        <v>274</v>
      </c>
      <c r="C107" t="s">
        <v>31</v>
      </c>
      <c r="D107" t="s">
        <v>88</v>
      </c>
      <c r="E107" t="s">
        <v>64</v>
      </c>
      <c r="F107" t="s">
        <v>65</v>
      </c>
      <c r="G107" t="s">
        <v>40</v>
      </c>
      <c r="H107" t="s">
        <v>21</v>
      </c>
      <c r="I107" s="8">
        <v>43267</v>
      </c>
      <c r="J107" s="8"/>
      <c r="K107" t="s">
        <v>22</v>
      </c>
      <c r="L107" s="9">
        <v>48800</v>
      </c>
      <c r="M107" s="10">
        <v>5</v>
      </c>
      <c r="N107" t="s">
        <v>58</v>
      </c>
    </row>
    <row r="108" spans="1:14">
      <c r="A108" t="s">
        <v>275</v>
      </c>
      <c r="B108" t="s">
        <v>276</v>
      </c>
      <c r="C108" t="s">
        <v>16</v>
      </c>
      <c r="D108" t="s">
        <v>49</v>
      </c>
      <c r="E108" t="s">
        <v>44</v>
      </c>
      <c r="F108" t="s">
        <v>45</v>
      </c>
      <c r="G108" t="s">
        <v>20</v>
      </c>
      <c r="H108" t="s">
        <v>21</v>
      </c>
      <c r="I108" s="8">
        <v>45222</v>
      </c>
      <c r="J108" s="8"/>
      <c r="K108" t="s">
        <v>22</v>
      </c>
      <c r="L108" s="9">
        <v>34900</v>
      </c>
      <c r="M108" s="10">
        <v>2</v>
      </c>
      <c r="N108" t="s">
        <v>23</v>
      </c>
    </row>
    <row r="109" spans="1:14">
      <c r="A109" t="s">
        <v>277</v>
      </c>
      <c r="B109" t="s">
        <v>278</v>
      </c>
      <c r="C109" t="s">
        <v>16</v>
      </c>
      <c r="D109" t="s">
        <v>43</v>
      </c>
      <c r="E109" t="s">
        <v>18</v>
      </c>
      <c r="F109" t="s">
        <v>89</v>
      </c>
      <c r="G109" t="s">
        <v>20</v>
      </c>
      <c r="H109" t="s">
        <v>21</v>
      </c>
      <c r="I109" s="8">
        <v>44095</v>
      </c>
      <c r="J109" s="8"/>
      <c r="K109" t="s">
        <v>22</v>
      </c>
      <c r="L109" s="9">
        <v>58800</v>
      </c>
      <c r="M109" s="10">
        <v>3</v>
      </c>
      <c r="N109" t="s">
        <v>23</v>
      </c>
    </row>
    <row r="110" spans="1:14">
      <c r="A110" t="s">
        <v>279</v>
      </c>
      <c r="B110" t="s">
        <v>280</v>
      </c>
      <c r="C110" t="s">
        <v>31</v>
      </c>
      <c r="D110" t="s">
        <v>17</v>
      </c>
      <c r="E110" t="s">
        <v>64</v>
      </c>
      <c r="F110" t="s">
        <v>92</v>
      </c>
      <c r="G110" t="s">
        <v>20</v>
      </c>
      <c r="H110" t="s">
        <v>21</v>
      </c>
      <c r="I110" s="8">
        <v>44078</v>
      </c>
      <c r="J110" s="8"/>
      <c r="K110" t="s">
        <v>22</v>
      </c>
      <c r="L110" s="9">
        <v>40800</v>
      </c>
      <c r="M110" s="10">
        <v>4</v>
      </c>
      <c r="N110" t="s">
        <v>23</v>
      </c>
    </row>
    <row r="111" spans="1:14">
      <c r="A111" t="s">
        <v>281</v>
      </c>
      <c r="B111" t="s">
        <v>282</v>
      </c>
      <c r="C111" t="s">
        <v>31</v>
      </c>
      <c r="D111" t="s">
        <v>74</v>
      </c>
      <c r="E111" t="s">
        <v>18</v>
      </c>
      <c r="F111" t="s">
        <v>19</v>
      </c>
      <c r="G111" t="s">
        <v>57</v>
      </c>
      <c r="H111" t="s">
        <v>21</v>
      </c>
      <c r="I111" s="8">
        <v>44787</v>
      </c>
      <c r="J111" s="8"/>
      <c r="K111" t="s">
        <v>22</v>
      </c>
      <c r="L111" s="9">
        <v>50000</v>
      </c>
      <c r="M111" s="10">
        <v>3</v>
      </c>
      <c r="N111" t="s">
        <v>23</v>
      </c>
    </row>
    <row r="112" spans="1:14">
      <c r="A112" t="s">
        <v>283</v>
      </c>
      <c r="B112" t="s">
        <v>284</v>
      </c>
      <c r="C112" t="s">
        <v>16</v>
      </c>
      <c r="D112" t="s">
        <v>49</v>
      </c>
      <c r="E112" t="s">
        <v>18</v>
      </c>
      <c r="F112" t="s">
        <v>89</v>
      </c>
      <c r="G112" t="s">
        <v>20</v>
      </c>
      <c r="H112" t="s">
        <v>21</v>
      </c>
      <c r="I112" s="8">
        <v>44502</v>
      </c>
      <c r="J112" s="8"/>
      <c r="K112" t="s">
        <v>22</v>
      </c>
      <c r="L112" s="9">
        <v>61300</v>
      </c>
      <c r="M112" s="10">
        <v>5</v>
      </c>
      <c r="N112" t="s">
        <v>23</v>
      </c>
    </row>
    <row r="113" spans="1:14">
      <c r="A113" t="s">
        <v>285</v>
      </c>
      <c r="B113" t="s">
        <v>286</v>
      </c>
      <c r="C113" t="s">
        <v>16</v>
      </c>
      <c r="D113" t="s">
        <v>26</v>
      </c>
      <c r="E113" t="s">
        <v>18</v>
      </c>
      <c r="F113" t="s">
        <v>89</v>
      </c>
      <c r="G113" t="s">
        <v>20</v>
      </c>
      <c r="H113" t="s">
        <v>21</v>
      </c>
      <c r="I113" s="8">
        <v>44800</v>
      </c>
      <c r="J113" s="8"/>
      <c r="K113" t="s">
        <v>22</v>
      </c>
      <c r="L113" s="9">
        <v>68600</v>
      </c>
      <c r="M113" s="10">
        <v>4</v>
      </c>
      <c r="N113" t="s">
        <v>23</v>
      </c>
    </row>
    <row r="114" spans="1:14">
      <c r="A114" t="s">
        <v>287</v>
      </c>
      <c r="B114" t="s">
        <v>288</v>
      </c>
      <c r="C114" t="s">
        <v>16</v>
      </c>
      <c r="D114" t="s">
        <v>88</v>
      </c>
      <c r="E114" t="s">
        <v>44</v>
      </c>
      <c r="F114" t="s">
        <v>45</v>
      </c>
      <c r="G114" t="s">
        <v>57</v>
      </c>
      <c r="H114" t="s">
        <v>21</v>
      </c>
      <c r="I114" s="8">
        <v>44134</v>
      </c>
      <c r="J114" s="8"/>
      <c r="K114" t="s">
        <v>22</v>
      </c>
      <c r="L114" s="9">
        <v>37300</v>
      </c>
      <c r="M114" s="10">
        <v>4</v>
      </c>
      <c r="N114" t="s">
        <v>58</v>
      </c>
    </row>
    <row r="115" spans="1:14">
      <c r="A115" t="s">
        <v>289</v>
      </c>
      <c r="B115" t="s">
        <v>290</v>
      </c>
      <c r="C115" t="s">
        <v>16</v>
      </c>
      <c r="D115" t="s">
        <v>114</v>
      </c>
      <c r="E115" t="s">
        <v>64</v>
      </c>
      <c r="F115" t="s">
        <v>92</v>
      </c>
      <c r="G115" t="s">
        <v>20</v>
      </c>
      <c r="H115" t="s">
        <v>46</v>
      </c>
      <c r="I115" s="8">
        <v>44398</v>
      </c>
      <c r="J115" s="8"/>
      <c r="K115" t="s">
        <v>22</v>
      </c>
      <c r="L115" s="9">
        <v>41100</v>
      </c>
      <c r="M115" s="10">
        <v>4</v>
      </c>
      <c r="N115" t="s">
        <v>58</v>
      </c>
    </row>
    <row r="116" spans="1:14">
      <c r="A116" t="s">
        <v>291</v>
      </c>
      <c r="B116" t="s">
        <v>292</v>
      </c>
      <c r="C116" t="s">
        <v>31</v>
      </c>
      <c r="D116" t="s">
        <v>114</v>
      </c>
      <c r="E116" t="s">
        <v>70</v>
      </c>
      <c r="F116" t="s">
        <v>105</v>
      </c>
      <c r="G116" t="s">
        <v>20</v>
      </c>
      <c r="H116" t="s">
        <v>21</v>
      </c>
      <c r="I116" s="8">
        <v>45844</v>
      </c>
      <c r="J116" s="8"/>
      <c r="K116" t="s">
        <v>22</v>
      </c>
      <c r="L116" s="9">
        <v>43000</v>
      </c>
      <c r="M116" s="10">
        <v>4</v>
      </c>
      <c r="N116" t="s">
        <v>23</v>
      </c>
    </row>
    <row r="117" spans="1:14">
      <c r="A117" t="s">
        <v>293</v>
      </c>
      <c r="B117" t="s">
        <v>294</v>
      </c>
      <c r="C117" t="s">
        <v>16</v>
      </c>
      <c r="D117" t="s">
        <v>17</v>
      </c>
      <c r="E117" t="s">
        <v>18</v>
      </c>
      <c r="F117" t="s">
        <v>39</v>
      </c>
      <c r="G117" t="s">
        <v>35</v>
      </c>
      <c r="H117" t="s">
        <v>21</v>
      </c>
      <c r="I117" s="8">
        <v>45078</v>
      </c>
      <c r="J117" s="8"/>
      <c r="K117" t="s">
        <v>22</v>
      </c>
      <c r="L117" s="9">
        <v>69000</v>
      </c>
      <c r="M117" s="10">
        <v>4</v>
      </c>
      <c r="N117" t="s">
        <v>58</v>
      </c>
    </row>
    <row r="118" spans="1:14">
      <c r="A118" t="s">
        <v>295</v>
      </c>
      <c r="B118" t="s">
        <v>296</v>
      </c>
      <c r="C118" t="s">
        <v>16</v>
      </c>
      <c r="D118" t="s">
        <v>17</v>
      </c>
      <c r="E118" t="s">
        <v>64</v>
      </c>
      <c r="F118" t="s">
        <v>119</v>
      </c>
      <c r="G118" t="s">
        <v>35</v>
      </c>
      <c r="H118" t="s">
        <v>21</v>
      </c>
      <c r="I118" s="8">
        <v>45098</v>
      </c>
      <c r="J118" s="8"/>
      <c r="K118" t="s">
        <v>22</v>
      </c>
      <c r="L118" s="9">
        <v>43700</v>
      </c>
      <c r="M118" s="10">
        <v>3</v>
      </c>
      <c r="N118" t="s">
        <v>58</v>
      </c>
    </row>
    <row r="119" spans="1:14">
      <c r="A119" t="s">
        <v>297</v>
      </c>
      <c r="B119" t="s">
        <v>298</v>
      </c>
      <c r="C119" t="s">
        <v>16</v>
      </c>
      <c r="D119" t="s">
        <v>74</v>
      </c>
      <c r="E119" t="s">
        <v>44</v>
      </c>
      <c r="F119" t="s">
        <v>133</v>
      </c>
      <c r="G119" t="s">
        <v>57</v>
      </c>
      <c r="H119" t="s">
        <v>21</v>
      </c>
      <c r="I119" s="8">
        <v>44211</v>
      </c>
      <c r="J119" s="8"/>
      <c r="K119" t="s">
        <v>22</v>
      </c>
      <c r="L119" s="9">
        <v>24200</v>
      </c>
      <c r="M119" s="10">
        <v>3</v>
      </c>
      <c r="N119" t="s">
        <v>23</v>
      </c>
    </row>
    <row r="120" spans="1:14">
      <c r="A120" t="s">
        <v>299</v>
      </c>
      <c r="B120" t="s">
        <v>300</v>
      </c>
      <c r="C120" t="s">
        <v>16</v>
      </c>
      <c r="D120" t="s">
        <v>74</v>
      </c>
      <c r="E120" t="s">
        <v>33</v>
      </c>
      <c r="F120" t="s">
        <v>34</v>
      </c>
      <c r="G120" t="s">
        <v>35</v>
      </c>
      <c r="H120" t="s">
        <v>21</v>
      </c>
      <c r="I120" s="8">
        <v>43642</v>
      </c>
      <c r="J120" s="8"/>
      <c r="K120" t="s">
        <v>22</v>
      </c>
      <c r="L120" s="9">
        <v>42300</v>
      </c>
      <c r="M120" s="10">
        <v>3</v>
      </c>
      <c r="N120" t="s">
        <v>23</v>
      </c>
    </row>
    <row r="121" spans="1:14">
      <c r="A121" t="s">
        <v>301</v>
      </c>
      <c r="B121" t="s">
        <v>302</v>
      </c>
      <c r="C121" t="s">
        <v>31</v>
      </c>
      <c r="D121" t="s">
        <v>17</v>
      </c>
      <c r="E121" t="s">
        <v>52</v>
      </c>
      <c r="F121" t="s">
        <v>126</v>
      </c>
      <c r="G121" t="s">
        <v>20</v>
      </c>
      <c r="H121" t="s">
        <v>21</v>
      </c>
      <c r="I121" s="8">
        <v>44242</v>
      </c>
      <c r="J121" s="8"/>
      <c r="K121" t="s">
        <v>22</v>
      </c>
      <c r="L121" s="9">
        <v>40800</v>
      </c>
      <c r="M121" s="10">
        <v>4</v>
      </c>
      <c r="N121" t="s">
        <v>23</v>
      </c>
    </row>
    <row r="122" spans="1:14">
      <c r="A122" t="s">
        <v>303</v>
      </c>
      <c r="B122" t="s">
        <v>304</v>
      </c>
      <c r="C122" t="s">
        <v>16</v>
      </c>
      <c r="D122" t="s">
        <v>49</v>
      </c>
      <c r="E122" t="s">
        <v>27</v>
      </c>
      <c r="F122" t="s">
        <v>75</v>
      </c>
      <c r="G122" t="s">
        <v>57</v>
      </c>
      <c r="H122" t="s">
        <v>21</v>
      </c>
      <c r="I122" s="8">
        <v>45018</v>
      </c>
      <c r="J122" s="8"/>
      <c r="K122" t="s">
        <v>22</v>
      </c>
      <c r="L122" s="9">
        <v>57300</v>
      </c>
      <c r="M122" s="10">
        <v>5</v>
      </c>
      <c r="N122" t="s">
        <v>23</v>
      </c>
    </row>
    <row r="123" spans="1:14">
      <c r="A123" t="s">
        <v>305</v>
      </c>
      <c r="B123" t="s">
        <v>306</v>
      </c>
      <c r="C123" t="s">
        <v>16</v>
      </c>
      <c r="D123" t="s">
        <v>88</v>
      </c>
      <c r="E123" t="s">
        <v>44</v>
      </c>
      <c r="F123" t="s">
        <v>56</v>
      </c>
      <c r="G123" t="s">
        <v>40</v>
      </c>
      <c r="H123" t="s">
        <v>21</v>
      </c>
      <c r="I123" s="8">
        <v>44218</v>
      </c>
      <c r="J123" s="8">
        <v>45400</v>
      </c>
      <c r="K123" t="s">
        <v>36</v>
      </c>
      <c r="L123" s="9">
        <v>22100</v>
      </c>
      <c r="M123" s="10">
        <v>4</v>
      </c>
      <c r="N123" t="s">
        <v>23</v>
      </c>
    </row>
    <row r="124" spans="1:14">
      <c r="A124" t="s">
        <v>307</v>
      </c>
      <c r="B124" t="s">
        <v>308</v>
      </c>
      <c r="C124" t="s">
        <v>16</v>
      </c>
      <c r="D124" t="s">
        <v>49</v>
      </c>
      <c r="E124" t="s">
        <v>44</v>
      </c>
      <c r="F124" t="s">
        <v>133</v>
      </c>
      <c r="G124" t="s">
        <v>35</v>
      </c>
      <c r="H124" t="s">
        <v>21</v>
      </c>
      <c r="I124" s="8">
        <v>43927</v>
      </c>
      <c r="J124" s="8"/>
      <c r="K124" t="s">
        <v>22</v>
      </c>
      <c r="L124" s="9">
        <v>47600</v>
      </c>
      <c r="M124" s="10">
        <v>4</v>
      </c>
      <c r="N124" t="s">
        <v>58</v>
      </c>
    </row>
    <row r="125" spans="1:14">
      <c r="A125" t="s">
        <v>309</v>
      </c>
      <c r="B125" t="s">
        <v>310</v>
      </c>
      <c r="C125" t="s">
        <v>16</v>
      </c>
      <c r="D125" t="s">
        <v>114</v>
      </c>
      <c r="E125" t="s">
        <v>64</v>
      </c>
      <c r="F125" t="s">
        <v>65</v>
      </c>
      <c r="G125" t="s">
        <v>35</v>
      </c>
      <c r="H125" t="s">
        <v>198</v>
      </c>
      <c r="I125" s="8">
        <v>45945</v>
      </c>
      <c r="J125" s="8"/>
      <c r="K125" t="s">
        <v>22</v>
      </c>
      <c r="L125" s="9">
        <v>37800</v>
      </c>
      <c r="M125" s="10">
        <v>3</v>
      </c>
      <c r="N125" t="s">
        <v>23</v>
      </c>
    </row>
    <row r="126" spans="1:14">
      <c r="A126" t="s">
        <v>311</v>
      </c>
      <c r="B126" t="s">
        <v>312</v>
      </c>
      <c r="C126" t="s">
        <v>16</v>
      </c>
      <c r="D126" t="s">
        <v>49</v>
      </c>
      <c r="E126" t="s">
        <v>27</v>
      </c>
      <c r="F126" t="s">
        <v>28</v>
      </c>
      <c r="G126" t="s">
        <v>20</v>
      </c>
      <c r="H126" t="s">
        <v>21</v>
      </c>
      <c r="I126" s="8">
        <v>45168</v>
      </c>
      <c r="J126" s="8"/>
      <c r="K126" t="s">
        <v>22</v>
      </c>
      <c r="L126" s="9">
        <v>39100</v>
      </c>
      <c r="M126" s="10">
        <v>4</v>
      </c>
      <c r="N126" t="s">
        <v>23</v>
      </c>
    </row>
    <row r="127" spans="1:14">
      <c r="A127" t="s">
        <v>313</v>
      </c>
      <c r="B127" t="s">
        <v>314</v>
      </c>
      <c r="C127" t="s">
        <v>31</v>
      </c>
      <c r="D127" t="s">
        <v>17</v>
      </c>
      <c r="E127" t="s">
        <v>44</v>
      </c>
      <c r="F127" t="s">
        <v>45</v>
      </c>
      <c r="G127" t="s">
        <v>35</v>
      </c>
      <c r="H127" t="s">
        <v>21</v>
      </c>
      <c r="I127" s="8">
        <v>43208</v>
      </c>
      <c r="J127" s="8">
        <v>43944</v>
      </c>
      <c r="K127" t="s">
        <v>36</v>
      </c>
      <c r="L127" s="9">
        <v>39500</v>
      </c>
      <c r="M127" s="10">
        <v>4</v>
      </c>
      <c r="N127" t="s">
        <v>23</v>
      </c>
    </row>
    <row r="128" spans="1:14">
      <c r="A128" t="s">
        <v>315</v>
      </c>
      <c r="B128" t="s">
        <v>316</v>
      </c>
      <c r="C128" t="s">
        <v>16</v>
      </c>
      <c r="D128" t="s">
        <v>17</v>
      </c>
      <c r="E128" t="s">
        <v>64</v>
      </c>
      <c r="F128" t="s">
        <v>65</v>
      </c>
      <c r="G128" t="s">
        <v>20</v>
      </c>
      <c r="H128" t="s">
        <v>21</v>
      </c>
      <c r="I128" s="8">
        <v>45379</v>
      </c>
      <c r="J128" s="8"/>
      <c r="K128" t="s">
        <v>22</v>
      </c>
      <c r="L128" s="9">
        <v>37000</v>
      </c>
      <c r="M128" s="10">
        <v>3</v>
      </c>
      <c r="N128" t="s">
        <v>23</v>
      </c>
    </row>
    <row r="129" spans="1:14">
      <c r="A129" t="s">
        <v>317</v>
      </c>
      <c r="B129" t="s">
        <v>318</v>
      </c>
      <c r="C129" t="s">
        <v>31</v>
      </c>
      <c r="D129" t="s">
        <v>88</v>
      </c>
      <c r="E129" t="s">
        <v>44</v>
      </c>
      <c r="F129" t="s">
        <v>56</v>
      </c>
      <c r="G129" t="s">
        <v>35</v>
      </c>
      <c r="H129" t="s">
        <v>21</v>
      </c>
      <c r="I129" s="8">
        <v>44029</v>
      </c>
      <c r="J129" s="8"/>
      <c r="K129" t="s">
        <v>22</v>
      </c>
      <c r="L129" s="9">
        <v>18000</v>
      </c>
      <c r="M129" s="10">
        <v>4</v>
      </c>
      <c r="N129" t="s">
        <v>23</v>
      </c>
    </row>
    <row r="130" spans="1:14">
      <c r="A130" t="s">
        <v>319</v>
      </c>
      <c r="B130" t="s">
        <v>320</v>
      </c>
      <c r="C130" t="s">
        <v>16</v>
      </c>
      <c r="D130" t="s">
        <v>17</v>
      </c>
      <c r="E130" t="s">
        <v>44</v>
      </c>
      <c r="F130" t="s">
        <v>133</v>
      </c>
      <c r="G130" t="s">
        <v>35</v>
      </c>
      <c r="H130" t="s">
        <v>46</v>
      </c>
      <c r="I130" s="8">
        <v>43198</v>
      </c>
      <c r="J130" s="8"/>
      <c r="K130" t="s">
        <v>22</v>
      </c>
      <c r="L130" s="9">
        <v>25400</v>
      </c>
      <c r="M130" s="10">
        <v>1</v>
      </c>
      <c r="N130" t="s">
        <v>23</v>
      </c>
    </row>
    <row r="131" spans="1:14">
      <c r="A131" t="s">
        <v>321</v>
      </c>
      <c r="B131" t="s">
        <v>322</v>
      </c>
      <c r="C131" t="s">
        <v>31</v>
      </c>
      <c r="D131" t="s">
        <v>17</v>
      </c>
      <c r="E131" t="s">
        <v>52</v>
      </c>
      <c r="F131" t="s">
        <v>179</v>
      </c>
      <c r="G131" t="s">
        <v>57</v>
      </c>
      <c r="H131" t="s">
        <v>21</v>
      </c>
      <c r="I131" s="8">
        <v>43489</v>
      </c>
      <c r="J131" s="8"/>
      <c r="K131" t="s">
        <v>22</v>
      </c>
      <c r="L131" s="9">
        <v>42300</v>
      </c>
      <c r="M131" s="10">
        <v>1</v>
      </c>
      <c r="N131" t="s">
        <v>23</v>
      </c>
    </row>
    <row r="132" spans="1:14">
      <c r="A132" t="s">
        <v>323</v>
      </c>
      <c r="B132" t="s">
        <v>324</v>
      </c>
      <c r="C132" t="s">
        <v>16</v>
      </c>
      <c r="D132" t="s">
        <v>26</v>
      </c>
      <c r="E132" t="s">
        <v>44</v>
      </c>
      <c r="F132" t="s">
        <v>56</v>
      </c>
      <c r="G132" t="s">
        <v>57</v>
      </c>
      <c r="H132" t="s">
        <v>46</v>
      </c>
      <c r="I132" s="8">
        <v>45446</v>
      </c>
      <c r="J132" s="8"/>
      <c r="K132" t="s">
        <v>22</v>
      </c>
      <c r="L132" s="9">
        <v>35000</v>
      </c>
      <c r="M132" s="10">
        <v>4</v>
      </c>
      <c r="N132" t="s">
        <v>23</v>
      </c>
    </row>
    <row r="133" spans="1:14">
      <c r="A133" t="s">
        <v>325</v>
      </c>
      <c r="B133" t="s">
        <v>326</v>
      </c>
      <c r="C133" t="s">
        <v>31</v>
      </c>
      <c r="D133" t="s">
        <v>43</v>
      </c>
      <c r="E133" t="s">
        <v>44</v>
      </c>
      <c r="F133" t="s">
        <v>45</v>
      </c>
      <c r="G133" t="s">
        <v>35</v>
      </c>
      <c r="H133" t="s">
        <v>21</v>
      </c>
      <c r="I133" s="8">
        <v>45579</v>
      </c>
      <c r="J133" s="8"/>
      <c r="K133" t="s">
        <v>22</v>
      </c>
      <c r="L133" s="9">
        <v>36500</v>
      </c>
      <c r="M133" s="10">
        <v>5</v>
      </c>
      <c r="N133" t="s">
        <v>23</v>
      </c>
    </row>
    <row r="134" spans="1:14">
      <c r="A134" t="s">
        <v>327</v>
      </c>
      <c r="B134" t="s">
        <v>328</v>
      </c>
      <c r="C134" t="s">
        <v>31</v>
      </c>
      <c r="D134" t="s">
        <v>49</v>
      </c>
      <c r="E134" t="s">
        <v>27</v>
      </c>
      <c r="F134" t="s">
        <v>61</v>
      </c>
      <c r="G134" t="s">
        <v>20</v>
      </c>
      <c r="H134" t="s">
        <v>21</v>
      </c>
      <c r="I134" s="8">
        <v>45190</v>
      </c>
      <c r="J134" s="8"/>
      <c r="K134" t="s">
        <v>22</v>
      </c>
      <c r="L134" s="9">
        <v>33000</v>
      </c>
      <c r="M134" s="10">
        <v>4</v>
      </c>
      <c r="N134" t="s">
        <v>23</v>
      </c>
    </row>
    <row r="135" spans="1:14">
      <c r="A135" t="s">
        <v>329</v>
      </c>
      <c r="B135" t="s">
        <v>330</v>
      </c>
      <c r="C135" t="s">
        <v>31</v>
      </c>
      <c r="D135" t="s">
        <v>26</v>
      </c>
      <c r="E135" t="s">
        <v>27</v>
      </c>
      <c r="F135" t="s">
        <v>28</v>
      </c>
      <c r="G135" t="s">
        <v>40</v>
      </c>
      <c r="H135" t="s">
        <v>21</v>
      </c>
      <c r="I135" s="8">
        <v>45185</v>
      </c>
      <c r="J135" s="8">
        <v>45397</v>
      </c>
      <c r="K135" t="s">
        <v>36</v>
      </c>
      <c r="L135" s="9">
        <v>48100</v>
      </c>
      <c r="M135" s="10">
        <v>4</v>
      </c>
      <c r="N135" t="s">
        <v>58</v>
      </c>
    </row>
    <row r="136" spans="1:14">
      <c r="A136" t="s">
        <v>331</v>
      </c>
      <c r="B136" t="s">
        <v>332</v>
      </c>
      <c r="C136" t="s">
        <v>31</v>
      </c>
      <c r="D136" t="s">
        <v>17</v>
      </c>
      <c r="E136" t="s">
        <v>70</v>
      </c>
      <c r="F136" t="s">
        <v>71</v>
      </c>
      <c r="G136" t="s">
        <v>57</v>
      </c>
      <c r="H136" t="s">
        <v>21</v>
      </c>
      <c r="I136" s="8">
        <v>43954</v>
      </c>
      <c r="J136" s="8"/>
      <c r="K136" t="s">
        <v>22</v>
      </c>
      <c r="L136" s="9">
        <v>33800</v>
      </c>
      <c r="M136" s="10">
        <v>4</v>
      </c>
      <c r="N136" t="s">
        <v>23</v>
      </c>
    </row>
    <row r="137" spans="1:14">
      <c r="A137" t="s">
        <v>333</v>
      </c>
      <c r="B137" t="s">
        <v>334</v>
      </c>
      <c r="C137" t="s">
        <v>31</v>
      </c>
      <c r="D137" t="s">
        <v>17</v>
      </c>
      <c r="E137" t="s">
        <v>33</v>
      </c>
      <c r="F137" t="s">
        <v>148</v>
      </c>
      <c r="G137" t="s">
        <v>57</v>
      </c>
      <c r="H137" t="s">
        <v>21</v>
      </c>
      <c r="I137" s="8">
        <v>43688</v>
      </c>
      <c r="J137" s="8"/>
      <c r="K137" t="s">
        <v>22</v>
      </c>
      <c r="L137" s="9">
        <v>57200</v>
      </c>
      <c r="M137" s="10">
        <v>3</v>
      </c>
      <c r="N137" t="s">
        <v>23</v>
      </c>
    </row>
    <row r="138" spans="1:14">
      <c r="A138" t="s">
        <v>335</v>
      </c>
      <c r="B138" t="s">
        <v>336</v>
      </c>
      <c r="C138" t="s">
        <v>16</v>
      </c>
      <c r="D138" t="s">
        <v>114</v>
      </c>
      <c r="E138" t="s">
        <v>64</v>
      </c>
      <c r="F138" t="s">
        <v>92</v>
      </c>
      <c r="G138" t="s">
        <v>20</v>
      </c>
      <c r="H138" t="s">
        <v>21</v>
      </c>
      <c r="I138" s="8">
        <v>44047</v>
      </c>
      <c r="J138" s="8"/>
      <c r="K138" t="s">
        <v>22</v>
      </c>
      <c r="L138" s="9">
        <v>38700</v>
      </c>
      <c r="M138" s="10">
        <v>4</v>
      </c>
      <c r="N138" t="s">
        <v>23</v>
      </c>
    </row>
    <row r="139" spans="1:14">
      <c r="A139" t="s">
        <v>337</v>
      </c>
      <c r="B139" t="s">
        <v>338</v>
      </c>
      <c r="C139" t="s">
        <v>31</v>
      </c>
      <c r="D139" t="s">
        <v>74</v>
      </c>
      <c r="E139" t="s">
        <v>70</v>
      </c>
      <c r="F139" t="s">
        <v>105</v>
      </c>
      <c r="G139" t="s">
        <v>20</v>
      </c>
      <c r="H139" t="s">
        <v>21</v>
      </c>
      <c r="I139" s="8">
        <v>43713</v>
      </c>
      <c r="J139" s="8"/>
      <c r="K139" t="s">
        <v>22</v>
      </c>
      <c r="L139" s="9">
        <v>35900</v>
      </c>
      <c r="M139" s="10">
        <v>3</v>
      </c>
      <c r="N139" t="s">
        <v>23</v>
      </c>
    </row>
    <row r="140" spans="1:14">
      <c r="A140" t="s">
        <v>339</v>
      </c>
      <c r="B140" t="s">
        <v>340</v>
      </c>
      <c r="C140" t="s">
        <v>16</v>
      </c>
      <c r="D140" t="s">
        <v>74</v>
      </c>
      <c r="E140" t="s">
        <v>52</v>
      </c>
      <c r="F140" t="s">
        <v>53</v>
      </c>
      <c r="G140" t="s">
        <v>20</v>
      </c>
      <c r="H140" t="s">
        <v>21</v>
      </c>
      <c r="I140" s="8">
        <v>45628</v>
      </c>
      <c r="J140" s="8"/>
      <c r="K140" t="s">
        <v>22</v>
      </c>
      <c r="L140" s="9">
        <v>41000</v>
      </c>
      <c r="M140" s="10">
        <v>4</v>
      </c>
      <c r="N140" t="s">
        <v>23</v>
      </c>
    </row>
    <row r="141" spans="1:14">
      <c r="A141" t="s">
        <v>341</v>
      </c>
      <c r="B141" t="s">
        <v>342</v>
      </c>
      <c r="C141" t="s">
        <v>16</v>
      </c>
      <c r="D141" t="s">
        <v>49</v>
      </c>
      <c r="E141" t="s">
        <v>64</v>
      </c>
      <c r="F141" t="s">
        <v>65</v>
      </c>
      <c r="G141" t="s">
        <v>20</v>
      </c>
      <c r="H141" t="s">
        <v>21</v>
      </c>
      <c r="I141" s="8">
        <v>45066</v>
      </c>
      <c r="J141" s="8"/>
      <c r="K141" t="s">
        <v>22</v>
      </c>
      <c r="L141" s="9">
        <v>34300</v>
      </c>
      <c r="M141" s="10">
        <v>4</v>
      </c>
      <c r="N141" t="s">
        <v>23</v>
      </c>
    </row>
    <row r="142" spans="1:14">
      <c r="A142" t="s">
        <v>343</v>
      </c>
      <c r="B142" t="s">
        <v>344</v>
      </c>
      <c r="C142" t="s">
        <v>31</v>
      </c>
      <c r="D142" t="s">
        <v>74</v>
      </c>
      <c r="E142" t="s">
        <v>70</v>
      </c>
      <c r="F142" t="s">
        <v>71</v>
      </c>
      <c r="G142" t="s">
        <v>20</v>
      </c>
      <c r="H142" t="s">
        <v>21</v>
      </c>
      <c r="I142" s="8">
        <v>43519</v>
      </c>
      <c r="J142" s="8">
        <v>45363</v>
      </c>
      <c r="K142" t="s">
        <v>36</v>
      </c>
      <c r="L142" s="9">
        <v>41700</v>
      </c>
      <c r="M142" s="10">
        <v>4</v>
      </c>
      <c r="N142" t="s">
        <v>58</v>
      </c>
    </row>
    <row r="143" spans="1:14">
      <c r="A143" t="s">
        <v>345</v>
      </c>
      <c r="B143" t="s">
        <v>346</v>
      </c>
      <c r="C143" t="s">
        <v>31</v>
      </c>
      <c r="D143" t="s">
        <v>17</v>
      </c>
      <c r="E143" t="s">
        <v>18</v>
      </c>
      <c r="F143" t="s">
        <v>19</v>
      </c>
      <c r="G143" t="s">
        <v>35</v>
      </c>
      <c r="H143" t="s">
        <v>46</v>
      </c>
      <c r="I143" s="8">
        <v>43355</v>
      </c>
      <c r="J143" s="8">
        <v>44973</v>
      </c>
      <c r="K143" t="s">
        <v>36</v>
      </c>
      <c r="L143" s="9">
        <v>56500</v>
      </c>
      <c r="M143" s="10">
        <v>5</v>
      </c>
      <c r="N143" t="s">
        <v>23</v>
      </c>
    </row>
    <row r="144" spans="1:14">
      <c r="A144" t="s">
        <v>347</v>
      </c>
      <c r="B144" t="s">
        <v>348</v>
      </c>
      <c r="C144" t="s">
        <v>16</v>
      </c>
      <c r="D144" t="s">
        <v>88</v>
      </c>
      <c r="E144" t="s">
        <v>70</v>
      </c>
      <c r="F144" t="s">
        <v>105</v>
      </c>
      <c r="G144" t="s">
        <v>57</v>
      </c>
      <c r="H144" t="s">
        <v>21</v>
      </c>
      <c r="I144" s="8">
        <v>45010</v>
      </c>
      <c r="J144" s="8">
        <v>45190</v>
      </c>
      <c r="K144" t="s">
        <v>36</v>
      </c>
      <c r="L144" s="9">
        <v>33500</v>
      </c>
      <c r="M144" s="10">
        <v>2</v>
      </c>
      <c r="N144" t="s">
        <v>23</v>
      </c>
    </row>
    <row r="145" spans="1:14">
      <c r="A145" t="s">
        <v>349</v>
      </c>
      <c r="B145" t="s">
        <v>350</v>
      </c>
      <c r="C145" t="s">
        <v>31</v>
      </c>
      <c r="D145" t="s">
        <v>88</v>
      </c>
      <c r="E145" t="s">
        <v>27</v>
      </c>
      <c r="F145" t="s">
        <v>28</v>
      </c>
      <c r="G145" t="s">
        <v>35</v>
      </c>
      <c r="H145" t="s">
        <v>21</v>
      </c>
      <c r="I145" s="8">
        <v>45703</v>
      </c>
      <c r="J145" s="8"/>
      <c r="K145" t="s">
        <v>22</v>
      </c>
      <c r="L145" s="9">
        <v>33500</v>
      </c>
      <c r="M145" s="10">
        <v>3</v>
      </c>
      <c r="N145" t="s">
        <v>23</v>
      </c>
    </row>
    <row r="146" spans="1:14">
      <c r="A146" t="s">
        <v>351</v>
      </c>
      <c r="B146" t="s">
        <v>352</v>
      </c>
      <c r="C146" t="s">
        <v>16</v>
      </c>
      <c r="D146" t="s">
        <v>32</v>
      </c>
      <c r="E146" t="s">
        <v>70</v>
      </c>
      <c r="F146" t="s">
        <v>105</v>
      </c>
      <c r="G146" t="s">
        <v>40</v>
      </c>
      <c r="H146" t="s">
        <v>21</v>
      </c>
      <c r="I146" s="8">
        <v>45265</v>
      </c>
      <c r="J146" s="8"/>
      <c r="K146" t="s">
        <v>22</v>
      </c>
      <c r="L146" s="9">
        <v>35000</v>
      </c>
      <c r="M146" s="10">
        <v>5</v>
      </c>
      <c r="N146" t="s">
        <v>23</v>
      </c>
    </row>
    <row r="147" spans="1:14">
      <c r="A147" t="s">
        <v>353</v>
      </c>
      <c r="B147" t="s">
        <v>354</v>
      </c>
      <c r="C147" t="s">
        <v>31</v>
      </c>
      <c r="D147" t="s">
        <v>114</v>
      </c>
      <c r="E147" t="s">
        <v>70</v>
      </c>
      <c r="F147" t="s">
        <v>71</v>
      </c>
      <c r="G147" t="s">
        <v>40</v>
      </c>
      <c r="H147" t="s">
        <v>21</v>
      </c>
      <c r="I147" s="8">
        <v>45139</v>
      </c>
      <c r="J147" s="8"/>
      <c r="K147" t="s">
        <v>22</v>
      </c>
      <c r="L147" s="9">
        <v>37300</v>
      </c>
      <c r="M147" s="10">
        <v>2</v>
      </c>
      <c r="N147" t="s">
        <v>23</v>
      </c>
    </row>
    <row r="148" spans="1:14">
      <c r="A148" t="s">
        <v>355</v>
      </c>
      <c r="B148" t="s">
        <v>356</v>
      </c>
      <c r="C148" t="s">
        <v>31</v>
      </c>
      <c r="D148" t="s">
        <v>43</v>
      </c>
      <c r="E148" t="s">
        <v>33</v>
      </c>
      <c r="F148" t="s">
        <v>97</v>
      </c>
      <c r="G148" t="s">
        <v>40</v>
      </c>
      <c r="H148" t="s">
        <v>21</v>
      </c>
      <c r="I148" s="8">
        <v>45207</v>
      </c>
      <c r="J148" s="8"/>
      <c r="K148" t="s">
        <v>22</v>
      </c>
      <c r="L148" s="9">
        <v>32100</v>
      </c>
      <c r="M148" s="10">
        <v>5</v>
      </c>
      <c r="N148" t="s">
        <v>23</v>
      </c>
    </row>
    <row r="149" spans="1:14">
      <c r="A149" t="s">
        <v>357</v>
      </c>
      <c r="B149" t="s">
        <v>358</v>
      </c>
      <c r="C149" t="s">
        <v>16</v>
      </c>
      <c r="D149" t="s">
        <v>26</v>
      </c>
      <c r="E149" t="s">
        <v>64</v>
      </c>
      <c r="F149" t="s">
        <v>119</v>
      </c>
      <c r="G149" t="s">
        <v>35</v>
      </c>
      <c r="H149" t="s">
        <v>21</v>
      </c>
      <c r="I149" s="8">
        <v>44487</v>
      </c>
      <c r="J149" s="8">
        <v>45539</v>
      </c>
      <c r="K149" t="s">
        <v>36</v>
      </c>
      <c r="L149" s="9">
        <v>49200</v>
      </c>
      <c r="M149" s="10">
        <v>3</v>
      </c>
      <c r="N149" t="s">
        <v>58</v>
      </c>
    </row>
    <row r="150" spans="1:14">
      <c r="A150" t="s">
        <v>359</v>
      </c>
      <c r="B150" t="s">
        <v>360</v>
      </c>
      <c r="C150" t="s">
        <v>16</v>
      </c>
      <c r="D150" t="s">
        <v>49</v>
      </c>
      <c r="E150" t="s">
        <v>44</v>
      </c>
      <c r="F150" t="s">
        <v>56</v>
      </c>
      <c r="G150" t="s">
        <v>20</v>
      </c>
      <c r="H150" t="s">
        <v>21</v>
      </c>
      <c r="I150" s="8">
        <v>45954</v>
      </c>
      <c r="J150" s="8"/>
      <c r="K150" t="s">
        <v>22</v>
      </c>
      <c r="L150" s="9">
        <v>21200</v>
      </c>
      <c r="M150" s="10">
        <v>3</v>
      </c>
      <c r="N150" t="s">
        <v>23</v>
      </c>
    </row>
    <row r="151" spans="1:14">
      <c r="A151" t="s">
        <v>361</v>
      </c>
      <c r="B151" t="s">
        <v>362</v>
      </c>
      <c r="C151" t="s">
        <v>31</v>
      </c>
      <c r="D151" t="s">
        <v>32</v>
      </c>
      <c r="E151" t="s">
        <v>33</v>
      </c>
      <c r="F151" t="s">
        <v>34</v>
      </c>
      <c r="G151" t="s">
        <v>20</v>
      </c>
      <c r="H151" t="s">
        <v>21</v>
      </c>
      <c r="I151" s="8">
        <v>43770</v>
      </c>
      <c r="J151" s="8"/>
      <c r="K151" t="s">
        <v>22</v>
      </c>
      <c r="L151" s="9">
        <v>40400</v>
      </c>
      <c r="M151" s="10">
        <v>4</v>
      </c>
      <c r="N151" t="s">
        <v>23</v>
      </c>
    </row>
    <row r="152" spans="1:14">
      <c r="A152" t="s">
        <v>363</v>
      </c>
      <c r="B152" t="s">
        <v>364</v>
      </c>
      <c r="C152" t="s">
        <v>16</v>
      </c>
      <c r="D152" t="s">
        <v>74</v>
      </c>
      <c r="E152" t="s">
        <v>52</v>
      </c>
      <c r="F152" t="s">
        <v>126</v>
      </c>
      <c r="G152" t="s">
        <v>20</v>
      </c>
      <c r="H152" t="s">
        <v>21</v>
      </c>
      <c r="I152" s="8">
        <v>43957</v>
      </c>
      <c r="J152" s="8"/>
      <c r="K152" t="s">
        <v>22</v>
      </c>
      <c r="L152" s="9">
        <v>30600</v>
      </c>
      <c r="M152" s="10">
        <v>3</v>
      </c>
      <c r="N152" t="s">
        <v>23</v>
      </c>
    </row>
    <row r="153" spans="1:14">
      <c r="A153" t="s">
        <v>365</v>
      </c>
      <c r="B153" t="s">
        <v>366</v>
      </c>
      <c r="C153" t="s">
        <v>31</v>
      </c>
      <c r="D153" t="s">
        <v>26</v>
      </c>
      <c r="E153" t="s">
        <v>18</v>
      </c>
      <c r="F153" t="s">
        <v>19</v>
      </c>
      <c r="G153" t="s">
        <v>35</v>
      </c>
      <c r="H153" t="s">
        <v>21</v>
      </c>
      <c r="I153" s="8">
        <v>44908</v>
      </c>
      <c r="J153" s="8"/>
      <c r="K153" t="s">
        <v>22</v>
      </c>
      <c r="L153" s="9">
        <v>59600</v>
      </c>
      <c r="M153" s="10">
        <v>3</v>
      </c>
      <c r="N153" t="s">
        <v>58</v>
      </c>
    </row>
    <row r="154" spans="1:14">
      <c r="A154" t="s">
        <v>367</v>
      </c>
      <c r="B154" t="s">
        <v>368</v>
      </c>
      <c r="C154" t="s">
        <v>31</v>
      </c>
      <c r="D154" t="s">
        <v>88</v>
      </c>
      <c r="E154" t="s">
        <v>33</v>
      </c>
      <c r="F154" t="s">
        <v>34</v>
      </c>
      <c r="G154" t="s">
        <v>35</v>
      </c>
      <c r="H154" t="s">
        <v>21</v>
      </c>
      <c r="I154" s="8">
        <v>43887</v>
      </c>
      <c r="J154" s="8"/>
      <c r="K154" t="s">
        <v>22</v>
      </c>
      <c r="L154" s="9">
        <v>40200</v>
      </c>
      <c r="M154" s="10">
        <v>5</v>
      </c>
      <c r="N154" t="s">
        <v>23</v>
      </c>
    </row>
    <row r="155" spans="1:14">
      <c r="A155" t="s">
        <v>369</v>
      </c>
      <c r="B155" t="s">
        <v>370</v>
      </c>
      <c r="C155" t="s">
        <v>31</v>
      </c>
      <c r="D155" t="s">
        <v>43</v>
      </c>
      <c r="E155" t="s">
        <v>44</v>
      </c>
      <c r="F155" t="s">
        <v>56</v>
      </c>
      <c r="G155" t="s">
        <v>35</v>
      </c>
      <c r="H155" t="s">
        <v>198</v>
      </c>
      <c r="I155" s="8">
        <v>43369</v>
      </c>
      <c r="J155" s="8"/>
      <c r="K155" t="s">
        <v>22</v>
      </c>
      <c r="L155" s="9">
        <v>33200</v>
      </c>
      <c r="M155" s="10">
        <v>3</v>
      </c>
      <c r="N155" t="s">
        <v>23</v>
      </c>
    </row>
    <row r="156" spans="1:14">
      <c r="A156" t="s">
        <v>371</v>
      </c>
      <c r="B156" t="s">
        <v>372</v>
      </c>
      <c r="C156" t="s">
        <v>16</v>
      </c>
      <c r="D156" t="s">
        <v>26</v>
      </c>
      <c r="E156" t="s">
        <v>64</v>
      </c>
      <c r="F156" t="s">
        <v>119</v>
      </c>
      <c r="G156" t="s">
        <v>20</v>
      </c>
      <c r="H156" t="s">
        <v>21</v>
      </c>
      <c r="I156" s="8">
        <v>45806</v>
      </c>
      <c r="J156" s="8"/>
      <c r="K156" t="s">
        <v>22</v>
      </c>
      <c r="L156" s="9">
        <v>55200</v>
      </c>
      <c r="M156" s="10">
        <v>5</v>
      </c>
      <c r="N156" t="s">
        <v>58</v>
      </c>
    </row>
    <row r="157" spans="1:14">
      <c r="A157" t="s">
        <v>373</v>
      </c>
      <c r="B157" t="s">
        <v>374</v>
      </c>
      <c r="C157" t="s">
        <v>16</v>
      </c>
      <c r="D157" t="s">
        <v>114</v>
      </c>
      <c r="E157" t="s">
        <v>70</v>
      </c>
      <c r="F157" t="s">
        <v>71</v>
      </c>
      <c r="G157" t="s">
        <v>35</v>
      </c>
      <c r="H157" t="s">
        <v>21</v>
      </c>
      <c r="I157" s="8">
        <v>44879</v>
      </c>
      <c r="J157" s="8"/>
      <c r="K157" t="s">
        <v>22</v>
      </c>
      <c r="L157" s="9">
        <v>31100</v>
      </c>
      <c r="M157" s="10">
        <v>4</v>
      </c>
      <c r="N157" t="s">
        <v>58</v>
      </c>
    </row>
    <row r="158" spans="1:14">
      <c r="A158" t="s">
        <v>375</v>
      </c>
      <c r="B158" t="s">
        <v>376</v>
      </c>
      <c r="C158" t="s">
        <v>16</v>
      </c>
      <c r="D158" t="s">
        <v>43</v>
      </c>
      <c r="E158" t="s">
        <v>18</v>
      </c>
      <c r="F158" t="s">
        <v>39</v>
      </c>
      <c r="G158" t="s">
        <v>35</v>
      </c>
      <c r="H158" t="s">
        <v>21</v>
      </c>
      <c r="I158" s="8">
        <v>45783</v>
      </c>
      <c r="J158" s="8"/>
      <c r="K158" t="s">
        <v>22</v>
      </c>
      <c r="L158" s="9">
        <v>62200</v>
      </c>
      <c r="M158" s="10">
        <v>3</v>
      </c>
      <c r="N158" t="s">
        <v>23</v>
      </c>
    </row>
    <row r="159" spans="1:14">
      <c r="A159" t="s">
        <v>377</v>
      </c>
      <c r="B159" t="s">
        <v>378</v>
      </c>
      <c r="C159" t="s">
        <v>16</v>
      </c>
      <c r="D159" t="s">
        <v>32</v>
      </c>
      <c r="E159" t="s">
        <v>33</v>
      </c>
      <c r="F159" t="s">
        <v>34</v>
      </c>
      <c r="G159" t="s">
        <v>20</v>
      </c>
      <c r="H159" t="s">
        <v>21</v>
      </c>
      <c r="I159" s="8">
        <v>44487</v>
      </c>
      <c r="J159" s="8"/>
      <c r="K159" t="s">
        <v>22</v>
      </c>
      <c r="L159" s="9">
        <v>43400</v>
      </c>
      <c r="M159" s="10">
        <v>4</v>
      </c>
      <c r="N159" t="s">
        <v>23</v>
      </c>
    </row>
    <row r="160" spans="1:14">
      <c r="A160" t="s">
        <v>379</v>
      </c>
      <c r="B160" t="s">
        <v>380</v>
      </c>
      <c r="C160" t="s">
        <v>16</v>
      </c>
      <c r="D160" t="s">
        <v>74</v>
      </c>
      <c r="E160" t="s">
        <v>70</v>
      </c>
      <c r="F160" t="s">
        <v>102</v>
      </c>
      <c r="G160" t="s">
        <v>35</v>
      </c>
      <c r="H160" t="s">
        <v>21</v>
      </c>
      <c r="I160" s="8">
        <v>44303</v>
      </c>
      <c r="J160" s="8"/>
      <c r="K160" t="s">
        <v>22</v>
      </c>
      <c r="L160" s="9">
        <v>35900</v>
      </c>
      <c r="M160" s="10">
        <v>3</v>
      </c>
      <c r="N160" t="s">
        <v>23</v>
      </c>
    </row>
    <row r="161" spans="1:14">
      <c r="A161" t="s">
        <v>381</v>
      </c>
      <c r="B161" t="s">
        <v>382</v>
      </c>
      <c r="C161" t="s">
        <v>31</v>
      </c>
      <c r="D161" t="s">
        <v>49</v>
      </c>
      <c r="E161" t="s">
        <v>70</v>
      </c>
      <c r="F161" t="s">
        <v>105</v>
      </c>
      <c r="G161" t="s">
        <v>40</v>
      </c>
      <c r="H161" t="s">
        <v>21</v>
      </c>
      <c r="I161" s="8">
        <v>44471</v>
      </c>
      <c r="J161" s="8"/>
      <c r="K161" t="s">
        <v>22</v>
      </c>
      <c r="L161" s="9">
        <v>34500</v>
      </c>
      <c r="M161" s="10">
        <v>4</v>
      </c>
      <c r="N161" t="s">
        <v>23</v>
      </c>
    </row>
    <row r="162" spans="1:14">
      <c r="A162" t="s">
        <v>383</v>
      </c>
      <c r="B162" t="s">
        <v>384</v>
      </c>
      <c r="C162" t="s">
        <v>31</v>
      </c>
      <c r="D162" t="s">
        <v>88</v>
      </c>
      <c r="E162" t="s">
        <v>52</v>
      </c>
      <c r="F162" t="s">
        <v>126</v>
      </c>
      <c r="G162" t="s">
        <v>20</v>
      </c>
      <c r="H162" t="s">
        <v>21</v>
      </c>
      <c r="I162" s="8">
        <v>43826</v>
      </c>
      <c r="J162" s="8">
        <v>44592</v>
      </c>
      <c r="K162" t="s">
        <v>36</v>
      </c>
      <c r="L162" s="9">
        <v>33900</v>
      </c>
      <c r="M162" s="10">
        <v>2</v>
      </c>
      <c r="N162" t="s">
        <v>23</v>
      </c>
    </row>
    <row r="163" spans="1:14">
      <c r="A163" t="s">
        <v>385</v>
      </c>
      <c r="B163" t="s">
        <v>386</v>
      </c>
      <c r="C163" t="s">
        <v>31</v>
      </c>
      <c r="D163" t="s">
        <v>74</v>
      </c>
      <c r="E163" t="s">
        <v>18</v>
      </c>
      <c r="F163" t="s">
        <v>39</v>
      </c>
      <c r="G163" t="s">
        <v>35</v>
      </c>
      <c r="H163" t="s">
        <v>21</v>
      </c>
      <c r="I163" s="8">
        <v>43626</v>
      </c>
      <c r="J163" s="8"/>
      <c r="K163" t="s">
        <v>22</v>
      </c>
      <c r="L163" s="9">
        <v>64200</v>
      </c>
      <c r="M163" s="10">
        <v>5</v>
      </c>
      <c r="N163" t="s">
        <v>23</v>
      </c>
    </row>
    <row r="164" spans="1:14">
      <c r="A164" t="s">
        <v>387</v>
      </c>
      <c r="B164" t="s">
        <v>388</v>
      </c>
      <c r="C164" t="s">
        <v>16</v>
      </c>
      <c r="D164" t="s">
        <v>43</v>
      </c>
      <c r="E164" t="s">
        <v>27</v>
      </c>
      <c r="F164" t="s">
        <v>61</v>
      </c>
      <c r="G164" t="s">
        <v>40</v>
      </c>
      <c r="H164" t="s">
        <v>21</v>
      </c>
      <c r="I164" s="8">
        <v>43615</v>
      </c>
      <c r="J164" s="8"/>
      <c r="K164" t="s">
        <v>22</v>
      </c>
      <c r="L164" s="9">
        <v>46300</v>
      </c>
      <c r="M164" s="10">
        <v>5</v>
      </c>
      <c r="N164" t="s">
        <v>23</v>
      </c>
    </row>
    <row r="165" spans="1:14">
      <c r="A165" t="s">
        <v>389</v>
      </c>
      <c r="B165" t="s">
        <v>390</v>
      </c>
      <c r="C165" t="s">
        <v>31</v>
      </c>
      <c r="D165" t="s">
        <v>114</v>
      </c>
      <c r="E165" t="s">
        <v>70</v>
      </c>
      <c r="F165" t="s">
        <v>105</v>
      </c>
      <c r="G165" t="s">
        <v>20</v>
      </c>
      <c r="H165" t="s">
        <v>21</v>
      </c>
      <c r="I165" s="8">
        <v>43760</v>
      </c>
      <c r="J165" s="8"/>
      <c r="K165" t="s">
        <v>22</v>
      </c>
      <c r="L165" s="9">
        <v>32800</v>
      </c>
      <c r="M165" s="10">
        <v>3</v>
      </c>
      <c r="N165" t="s">
        <v>23</v>
      </c>
    </row>
    <row r="166" spans="1:14">
      <c r="A166" t="s">
        <v>391</v>
      </c>
      <c r="B166" t="s">
        <v>392</v>
      </c>
      <c r="C166" t="s">
        <v>16</v>
      </c>
      <c r="D166" t="s">
        <v>26</v>
      </c>
      <c r="E166" t="s">
        <v>64</v>
      </c>
      <c r="F166" t="s">
        <v>65</v>
      </c>
      <c r="G166" t="s">
        <v>20</v>
      </c>
      <c r="H166" t="s">
        <v>21</v>
      </c>
      <c r="I166" s="8">
        <v>44975</v>
      </c>
      <c r="J166" s="8"/>
      <c r="K166" t="s">
        <v>22</v>
      </c>
      <c r="L166" s="9">
        <v>34700</v>
      </c>
      <c r="M166" s="10">
        <v>5</v>
      </c>
      <c r="N166" t="s">
        <v>23</v>
      </c>
    </row>
    <row r="167" spans="1:14">
      <c r="A167" t="s">
        <v>393</v>
      </c>
      <c r="B167" t="s">
        <v>394</v>
      </c>
      <c r="C167" t="s">
        <v>16</v>
      </c>
      <c r="D167" t="s">
        <v>114</v>
      </c>
      <c r="E167" t="s">
        <v>70</v>
      </c>
      <c r="F167" t="s">
        <v>105</v>
      </c>
      <c r="G167" t="s">
        <v>57</v>
      </c>
      <c r="H167" t="s">
        <v>21</v>
      </c>
      <c r="I167" s="8">
        <v>44750</v>
      </c>
      <c r="J167" s="8">
        <v>45423</v>
      </c>
      <c r="K167" t="s">
        <v>36</v>
      </c>
      <c r="L167" s="9">
        <v>33200</v>
      </c>
      <c r="M167" s="10">
        <v>3</v>
      </c>
      <c r="N167" t="s">
        <v>58</v>
      </c>
    </row>
    <row r="168" spans="1:14">
      <c r="A168" t="s">
        <v>395</v>
      </c>
      <c r="B168" t="s">
        <v>396</v>
      </c>
      <c r="C168" t="s">
        <v>31</v>
      </c>
      <c r="D168" t="s">
        <v>17</v>
      </c>
      <c r="E168" t="s">
        <v>44</v>
      </c>
      <c r="F168" t="s">
        <v>133</v>
      </c>
      <c r="G168" t="s">
        <v>57</v>
      </c>
      <c r="H168" t="s">
        <v>21</v>
      </c>
      <c r="I168" s="8">
        <v>43712</v>
      </c>
      <c r="J168" s="8"/>
      <c r="K168" t="s">
        <v>22</v>
      </c>
      <c r="L168" s="9">
        <v>27600</v>
      </c>
      <c r="M168" s="10">
        <v>2</v>
      </c>
      <c r="N168" t="s">
        <v>23</v>
      </c>
    </row>
    <row r="169" spans="1:14">
      <c r="A169" t="s">
        <v>397</v>
      </c>
      <c r="B169" t="s">
        <v>398</v>
      </c>
      <c r="C169" t="s">
        <v>31</v>
      </c>
      <c r="D169" t="s">
        <v>74</v>
      </c>
      <c r="E169" t="s">
        <v>27</v>
      </c>
      <c r="F169" t="s">
        <v>61</v>
      </c>
      <c r="G169" t="s">
        <v>57</v>
      </c>
      <c r="H169" t="s">
        <v>21</v>
      </c>
      <c r="I169" s="8">
        <v>44451</v>
      </c>
      <c r="J169" s="8"/>
      <c r="K169" t="s">
        <v>22</v>
      </c>
      <c r="L169" s="9">
        <v>32000</v>
      </c>
      <c r="M169" s="10">
        <v>2</v>
      </c>
      <c r="N169" t="s">
        <v>58</v>
      </c>
    </row>
    <row r="170" spans="1:14">
      <c r="A170" t="s">
        <v>399</v>
      </c>
      <c r="B170" t="s">
        <v>400</v>
      </c>
      <c r="C170" t="s">
        <v>16</v>
      </c>
      <c r="D170" t="s">
        <v>49</v>
      </c>
      <c r="E170" t="s">
        <v>70</v>
      </c>
      <c r="F170" t="s">
        <v>71</v>
      </c>
      <c r="G170" t="s">
        <v>35</v>
      </c>
      <c r="H170" t="s">
        <v>21</v>
      </c>
      <c r="I170" s="8">
        <v>43607</v>
      </c>
      <c r="J170" s="8"/>
      <c r="K170" t="s">
        <v>22</v>
      </c>
      <c r="L170" s="9">
        <v>30000</v>
      </c>
      <c r="M170" s="10">
        <v>1</v>
      </c>
      <c r="N170" t="s">
        <v>23</v>
      </c>
    </row>
    <row r="171" spans="1:14">
      <c r="A171" t="s">
        <v>401</v>
      </c>
      <c r="B171" t="s">
        <v>402</v>
      </c>
      <c r="C171" t="s">
        <v>31</v>
      </c>
      <c r="D171" t="s">
        <v>114</v>
      </c>
      <c r="E171" t="s">
        <v>70</v>
      </c>
      <c r="F171" t="s">
        <v>102</v>
      </c>
      <c r="G171" t="s">
        <v>57</v>
      </c>
      <c r="H171" t="s">
        <v>46</v>
      </c>
      <c r="I171" s="8">
        <v>44915</v>
      </c>
      <c r="J171" s="8"/>
      <c r="K171" t="s">
        <v>22</v>
      </c>
      <c r="L171" s="9">
        <v>21400</v>
      </c>
      <c r="M171" s="10">
        <v>4</v>
      </c>
      <c r="N171" t="s">
        <v>23</v>
      </c>
    </row>
    <row r="172" spans="1:14">
      <c r="A172" t="s">
        <v>403</v>
      </c>
      <c r="B172" t="s">
        <v>404</v>
      </c>
      <c r="C172" t="s">
        <v>16</v>
      </c>
      <c r="D172" t="s">
        <v>43</v>
      </c>
      <c r="E172" t="s">
        <v>52</v>
      </c>
      <c r="F172" t="s">
        <v>53</v>
      </c>
      <c r="G172" t="s">
        <v>40</v>
      </c>
      <c r="H172" t="s">
        <v>21</v>
      </c>
      <c r="I172" s="8">
        <v>44864</v>
      </c>
      <c r="J172" s="8"/>
      <c r="K172" t="s">
        <v>22</v>
      </c>
      <c r="L172" s="9">
        <v>27800</v>
      </c>
      <c r="M172" s="10">
        <v>4</v>
      </c>
      <c r="N172" t="s">
        <v>23</v>
      </c>
    </row>
    <row r="173" spans="1:14">
      <c r="A173" t="s">
        <v>405</v>
      </c>
      <c r="B173" t="s">
        <v>406</v>
      </c>
      <c r="C173" t="s">
        <v>31</v>
      </c>
      <c r="D173" t="s">
        <v>43</v>
      </c>
      <c r="E173" t="s">
        <v>27</v>
      </c>
      <c r="F173" t="s">
        <v>61</v>
      </c>
      <c r="G173" t="s">
        <v>57</v>
      </c>
      <c r="H173" t="s">
        <v>21</v>
      </c>
      <c r="I173" s="8">
        <v>43579</v>
      </c>
      <c r="J173" s="8"/>
      <c r="K173" t="s">
        <v>22</v>
      </c>
      <c r="L173" s="9">
        <v>31600</v>
      </c>
      <c r="M173" s="10">
        <v>3</v>
      </c>
      <c r="N173" t="s">
        <v>23</v>
      </c>
    </row>
    <row r="174" spans="1:14">
      <c r="A174" t="s">
        <v>407</v>
      </c>
      <c r="B174" t="s">
        <v>408</v>
      </c>
      <c r="C174" t="s">
        <v>31</v>
      </c>
      <c r="D174" t="s">
        <v>49</v>
      </c>
      <c r="E174" t="s">
        <v>44</v>
      </c>
      <c r="F174" t="s">
        <v>133</v>
      </c>
      <c r="G174" t="s">
        <v>57</v>
      </c>
      <c r="H174" t="s">
        <v>46</v>
      </c>
      <c r="I174" s="8">
        <v>45757</v>
      </c>
      <c r="J174" s="8"/>
      <c r="K174" t="s">
        <v>22</v>
      </c>
      <c r="L174" s="9">
        <v>35400</v>
      </c>
      <c r="M174" s="10">
        <v>3</v>
      </c>
      <c r="N174" t="s">
        <v>23</v>
      </c>
    </row>
    <row r="175" spans="1:14">
      <c r="A175" t="s">
        <v>409</v>
      </c>
      <c r="B175" t="s">
        <v>410</v>
      </c>
      <c r="C175" t="s">
        <v>16</v>
      </c>
      <c r="D175" t="s">
        <v>74</v>
      </c>
      <c r="E175" t="s">
        <v>44</v>
      </c>
      <c r="F175" t="s">
        <v>45</v>
      </c>
      <c r="G175" t="s">
        <v>35</v>
      </c>
      <c r="H175" t="s">
        <v>21</v>
      </c>
      <c r="I175" s="8">
        <v>43753</v>
      </c>
      <c r="J175" s="8"/>
      <c r="K175" t="s">
        <v>22</v>
      </c>
      <c r="L175" s="9">
        <v>34800</v>
      </c>
      <c r="M175" s="10">
        <v>4</v>
      </c>
      <c r="N175" t="s">
        <v>23</v>
      </c>
    </row>
    <row r="176" spans="1:14">
      <c r="A176" t="s">
        <v>411</v>
      </c>
      <c r="B176" t="s">
        <v>412</v>
      </c>
      <c r="C176" t="s">
        <v>16</v>
      </c>
      <c r="D176" t="s">
        <v>32</v>
      </c>
      <c r="E176" t="s">
        <v>70</v>
      </c>
      <c r="F176" t="s">
        <v>105</v>
      </c>
      <c r="G176" t="s">
        <v>57</v>
      </c>
      <c r="H176" t="s">
        <v>21</v>
      </c>
      <c r="I176" s="8">
        <v>43364</v>
      </c>
      <c r="J176" s="8"/>
      <c r="K176" t="s">
        <v>22</v>
      </c>
      <c r="L176" s="9">
        <v>39700</v>
      </c>
      <c r="M176" s="10">
        <v>5</v>
      </c>
      <c r="N176" t="s">
        <v>23</v>
      </c>
    </row>
    <row r="177" spans="1:14">
      <c r="A177" t="s">
        <v>413</v>
      </c>
      <c r="B177" t="s">
        <v>414</v>
      </c>
      <c r="C177" t="s">
        <v>16</v>
      </c>
      <c r="D177" t="s">
        <v>74</v>
      </c>
      <c r="E177" t="s">
        <v>18</v>
      </c>
      <c r="F177" t="s">
        <v>39</v>
      </c>
      <c r="G177" t="s">
        <v>57</v>
      </c>
      <c r="H177" t="s">
        <v>21</v>
      </c>
      <c r="I177" s="8">
        <v>45894</v>
      </c>
      <c r="J177" s="8"/>
      <c r="K177" t="s">
        <v>22</v>
      </c>
      <c r="L177" s="9">
        <v>68600</v>
      </c>
      <c r="M177" s="10">
        <v>4</v>
      </c>
      <c r="N177" t="s">
        <v>23</v>
      </c>
    </row>
    <row r="178" spans="1:14">
      <c r="A178" t="s">
        <v>415</v>
      </c>
      <c r="B178" t="s">
        <v>416</v>
      </c>
      <c r="C178" t="s">
        <v>31</v>
      </c>
      <c r="D178" t="s">
        <v>17</v>
      </c>
      <c r="E178" t="s">
        <v>44</v>
      </c>
      <c r="F178" t="s">
        <v>45</v>
      </c>
      <c r="G178" t="s">
        <v>40</v>
      </c>
      <c r="H178" t="s">
        <v>198</v>
      </c>
      <c r="I178" s="8">
        <v>45385</v>
      </c>
      <c r="J178" s="8"/>
      <c r="K178" t="s">
        <v>22</v>
      </c>
      <c r="L178" s="9">
        <v>36500</v>
      </c>
      <c r="M178" s="10">
        <v>3</v>
      </c>
      <c r="N178" t="s">
        <v>23</v>
      </c>
    </row>
    <row r="179" spans="1:14">
      <c r="A179" t="s">
        <v>417</v>
      </c>
      <c r="B179" t="s">
        <v>418</v>
      </c>
      <c r="C179" t="s">
        <v>16</v>
      </c>
      <c r="D179" t="s">
        <v>32</v>
      </c>
      <c r="E179" t="s">
        <v>70</v>
      </c>
      <c r="F179" t="s">
        <v>105</v>
      </c>
      <c r="G179" t="s">
        <v>40</v>
      </c>
      <c r="H179" t="s">
        <v>21</v>
      </c>
      <c r="I179" s="8">
        <v>43897</v>
      </c>
      <c r="J179" s="8"/>
      <c r="K179" t="s">
        <v>22</v>
      </c>
      <c r="L179" s="9">
        <v>39700</v>
      </c>
      <c r="M179" s="10">
        <v>5</v>
      </c>
      <c r="N179" t="s">
        <v>23</v>
      </c>
    </row>
    <row r="180" spans="1:14">
      <c r="A180" t="s">
        <v>419</v>
      </c>
      <c r="B180" t="s">
        <v>420</v>
      </c>
      <c r="C180" t="s">
        <v>16</v>
      </c>
      <c r="D180" t="s">
        <v>74</v>
      </c>
      <c r="E180" t="s">
        <v>70</v>
      </c>
      <c r="F180" t="s">
        <v>102</v>
      </c>
      <c r="G180" t="s">
        <v>35</v>
      </c>
      <c r="H180" t="s">
        <v>46</v>
      </c>
      <c r="I180" s="8">
        <v>44548</v>
      </c>
      <c r="J180" s="8"/>
      <c r="K180" t="s">
        <v>22</v>
      </c>
      <c r="L180" s="9">
        <v>36700</v>
      </c>
      <c r="M180" s="10">
        <v>4</v>
      </c>
      <c r="N180" t="s">
        <v>23</v>
      </c>
    </row>
    <row r="181" spans="1:14">
      <c r="A181" t="s">
        <v>421</v>
      </c>
      <c r="B181" t="s">
        <v>422</v>
      </c>
      <c r="C181" t="s">
        <v>16</v>
      </c>
      <c r="D181" t="s">
        <v>32</v>
      </c>
      <c r="E181" t="s">
        <v>18</v>
      </c>
      <c r="F181" t="s">
        <v>19</v>
      </c>
      <c r="G181" t="s">
        <v>40</v>
      </c>
      <c r="H181" t="s">
        <v>21</v>
      </c>
      <c r="I181" s="8">
        <v>44102</v>
      </c>
      <c r="J181" s="8"/>
      <c r="K181" t="s">
        <v>22</v>
      </c>
      <c r="L181" s="9">
        <v>51400</v>
      </c>
      <c r="M181" s="10">
        <v>2</v>
      </c>
      <c r="N181" t="s">
        <v>58</v>
      </c>
    </row>
    <row r="182" spans="1:14">
      <c r="A182" t="s">
        <v>423</v>
      </c>
      <c r="B182" t="s">
        <v>424</v>
      </c>
      <c r="C182" t="s">
        <v>31</v>
      </c>
      <c r="D182" t="s">
        <v>32</v>
      </c>
      <c r="E182" t="s">
        <v>44</v>
      </c>
      <c r="F182" t="s">
        <v>133</v>
      </c>
      <c r="G182" t="s">
        <v>57</v>
      </c>
      <c r="H182" t="s">
        <v>46</v>
      </c>
      <c r="I182" s="8">
        <v>43452</v>
      </c>
      <c r="J182" s="8"/>
      <c r="K182" t="s">
        <v>22</v>
      </c>
      <c r="L182" s="9">
        <v>26100</v>
      </c>
      <c r="M182" s="10">
        <v>3</v>
      </c>
      <c r="N182" t="s">
        <v>23</v>
      </c>
    </row>
    <row r="183" spans="1:14">
      <c r="A183" t="s">
        <v>425</v>
      </c>
      <c r="B183" t="s">
        <v>426</v>
      </c>
      <c r="C183" t="s">
        <v>31</v>
      </c>
      <c r="D183" t="s">
        <v>26</v>
      </c>
      <c r="E183" t="s">
        <v>70</v>
      </c>
      <c r="F183" t="s">
        <v>102</v>
      </c>
      <c r="G183" t="s">
        <v>40</v>
      </c>
      <c r="H183" t="s">
        <v>21</v>
      </c>
      <c r="I183" s="8">
        <v>43321</v>
      </c>
      <c r="J183" s="8"/>
      <c r="K183" t="s">
        <v>22</v>
      </c>
      <c r="L183" s="9">
        <v>36000</v>
      </c>
      <c r="M183" s="10">
        <v>3</v>
      </c>
      <c r="N183" t="s">
        <v>23</v>
      </c>
    </row>
    <row r="184" spans="1:14">
      <c r="A184" t="s">
        <v>427</v>
      </c>
      <c r="B184" t="s">
        <v>428</v>
      </c>
      <c r="C184" t="s">
        <v>31</v>
      </c>
      <c r="D184" t="s">
        <v>43</v>
      </c>
      <c r="E184" t="s">
        <v>52</v>
      </c>
      <c r="F184" t="s">
        <v>126</v>
      </c>
      <c r="G184" t="s">
        <v>20</v>
      </c>
      <c r="H184" t="s">
        <v>21</v>
      </c>
      <c r="I184" s="8">
        <v>45835</v>
      </c>
      <c r="J184" s="8"/>
      <c r="K184" t="s">
        <v>22</v>
      </c>
      <c r="L184" s="9">
        <v>40800</v>
      </c>
      <c r="M184" s="10">
        <v>4</v>
      </c>
      <c r="N184" t="s">
        <v>23</v>
      </c>
    </row>
    <row r="185" spans="1:14">
      <c r="A185" t="s">
        <v>429</v>
      </c>
      <c r="B185" t="s">
        <v>430</v>
      </c>
      <c r="C185" t="s">
        <v>16</v>
      </c>
      <c r="D185" t="s">
        <v>114</v>
      </c>
      <c r="E185" t="s">
        <v>70</v>
      </c>
      <c r="F185" t="s">
        <v>105</v>
      </c>
      <c r="G185" t="s">
        <v>57</v>
      </c>
      <c r="H185" t="s">
        <v>21</v>
      </c>
      <c r="I185" s="8">
        <v>45885</v>
      </c>
      <c r="J185" s="8"/>
      <c r="K185" t="s">
        <v>22</v>
      </c>
      <c r="L185" s="9">
        <v>46800</v>
      </c>
      <c r="M185" s="10">
        <v>4</v>
      </c>
      <c r="N185" t="s">
        <v>23</v>
      </c>
    </row>
    <row r="186" spans="1:14">
      <c r="A186" t="s">
        <v>431</v>
      </c>
      <c r="B186" t="s">
        <v>432</v>
      </c>
      <c r="C186" t="s">
        <v>31</v>
      </c>
      <c r="D186" t="s">
        <v>17</v>
      </c>
      <c r="E186" t="s">
        <v>33</v>
      </c>
      <c r="F186" t="s">
        <v>97</v>
      </c>
      <c r="G186" t="s">
        <v>20</v>
      </c>
      <c r="H186" t="s">
        <v>21</v>
      </c>
      <c r="I186" s="8">
        <v>45703</v>
      </c>
      <c r="J186" s="8"/>
      <c r="K186" t="s">
        <v>22</v>
      </c>
      <c r="L186" s="9">
        <v>32300</v>
      </c>
      <c r="M186" s="10">
        <v>5</v>
      </c>
      <c r="N186" t="s">
        <v>23</v>
      </c>
    </row>
    <row r="187" spans="1:14">
      <c r="A187" t="s">
        <v>433</v>
      </c>
      <c r="B187" t="s">
        <v>434</v>
      </c>
      <c r="C187" t="s">
        <v>31</v>
      </c>
      <c r="D187" t="s">
        <v>26</v>
      </c>
      <c r="E187" t="s">
        <v>70</v>
      </c>
      <c r="F187" t="s">
        <v>71</v>
      </c>
      <c r="G187" t="s">
        <v>35</v>
      </c>
      <c r="H187" t="s">
        <v>21</v>
      </c>
      <c r="I187" s="8">
        <v>44506</v>
      </c>
      <c r="J187" s="8"/>
      <c r="K187" t="s">
        <v>22</v>
      </c>
      <c r="L187" s="9">
        <v>37000</v>
      </c>
      <c r="M187" s="10">
        <v>4</v>
      </c>
      <c r="N187" t="s">
        <v>23</v>
      </c>
    </row>
    <row r="188" spans="1:14">
      <c r="A188" t="s">
        <v>435</v>
      </c>
      <c r="B188" t="s">
        <v>436</v>
      </c>
      <c r="C188" t="s">
        <v>16</v>
      </c>
      <c r="D188" t="s">
        <v>88</v>
      </c>
      <c r="E188" t="s">
        <v>70</v>
      </c>
      <c r="F188" t="s">
        <v>105</v>
      </c>
      <c r="G188" t="s">
        <v>20</v>
      </c>
      <c r="H188" t="s">
        <v>21</v>
      </c>
      <c r="I188" s="8">
        <v>45189</v>
      </c>
      <c r="J188" s="8"/>
      <c r="K188" t="s">
        <v>22</v>
      </c>
      <c r="L188" s="9">
        <v>46700</v>
      </c>
      <c r="M188" s="10">
        <v>4</v>
      </c>
      <c r="N188" t="s">
        <v>58</v>
      </c>
    </row>
    <row r="189" spans="1:14">
      <c r="A189" t="s">
        <v>437</v>
      </c>
      <c r="B189" t="s">
        <v>438</v>
      </c>
      <c r="C189" t="s">
        <v>31</v>
      </c>
      <c r="D189" t="s">
        <v>17</v>
      </c>
      <c r="E189" t="s">
        <v>33</v>
      </c>
      <c r="F189" t="s">
        <v>97</v>
      </c>
      <c r="G189" t="s">
        <v>40</v>
      </c>
      <c r="H189" t="s">
        <v>21</v>
      </c>
      <c r="I189" s="8">
        <v>44960</v>
      </c>
      <c r="J189" s="8"/>
      <c r="K189" t="s">
        <v>22</v>
      </c>
      <c r="L189" s="9">
        <v>41300</v>
      </c>
      <c r="M189" s="10">
        <v>2</v>
      </c>
      <c r="N189" t="s">
        <v>23</v>
      </c>
    </row>
    <row r="190" spans="1:14">
      <c r="A190" t="s">
        <v>439</v>
      </c>
      <c r="B190" t="s">
        <v>440</v>
      </c>
      <c r="C190" t="s">
        <v>31</v>
      </c>
      <c r="D190" t="s">
        <v>17</v>
      </c>
      <c r="E190" t="s">
        <v>44</v>
      </c>
      <c r="F190" t="s">
        <v>56</v>
      </c>
      <c r="G190" t="s">
        <v>20</v>
      </c>
      <c r="H190" t="s">
        <v>21</v>
      </c>
      <c r="I190" s="8">
        <v>44850</v>
      </c>
      <c r="J190" s="8"/>
      <c r="K190" t="s">
        <v>22</v>
      </c>
      <c r="L190" s="9">
        <v>28300</v>
      </c>
      <c r="M190" s="10">
        <v>5</v>
      </c>
      <c r="N190" t="s">
        <v>58</v>
      </c>
    </row>
    <row r="191" spans="1:14">
      <c r="A191" t="s">
        <v>441</v>
      </c>
      <c r="B191" t="s">
        <v>442</v>
      </c>
      <c r="C191" t="s">
        <v>31</v>
      </c>
      <c r="D191" t="s">
        <v>88</v>
      </c>
      <c r="E191" t="s">
        <v>70</v>
      </c>
      <c r="F191" t="s">
        <v>102</v>
      </c>
      <c r="G191" t="s">
        <v>20</v>
      </c>
      <c r="H191" t="s">
        <v>21</v>
      </c>
      <c r="I191" s="8">
        <v>45168</v>
      </c>
      <c r="J191" s="8"/>
      <c r="K191" t="s">
        <v>22</v>
      </c>
      <c r="L191" s="9">
        <v>22100</v>
      </c>
      <c r="M191" s="10">
        <v>1</v>
      </c>
      <c r="N191" t="s">
        <v>23</v>
      </c>
    </row>
    <row r="192" spans="1:14">
      <c r="A192" t="s">
        <v>443</v>
      </c>
      <c r="B192" t="s">
        <v>444</v>
      </c>
      <c r="C192" t="s">
        <v>16</v>
      </c>
      <c r="D192" t="s">
        <v>114</v>
      </c>
      <c r="E192" t="s">
        <v>44</v>
      </c>
      <c r="F192" t="s">
        <v>133</v>
      </c>
      <c r="G192" t="s">
        <v>35</v>
      </c>
      <c r="H192" t="s">
        <v>21</v>
      </c>
      <c r="I192" s="8">
        <v>45639</v>
      </c>
      <c r="J192" s="8"/>
      <c r="K192" t="s">
        <v>22</v>
      </c>
      <c r="L192" s="9">
        <v>23200</v>
      </c>
      <c r="M192" s="10">
        <v>3</v>
      </c>
      <c r="N192" t="s">
        <v>23</v>
      </c>
    </row>
    <row r="193" spans="1:14">
      <c r="A193" t="s">
        <v>445</v>
      </c>
      <c r="B193" t="s">
        <v>446</v>
      </c>
      <c r="C193" t="s">
        <v>16</v>
      </c>
      <c r="D193" t="s">
        <v>26</v>
      </c>
      <c r="E193" t="s">
        <v>70</v>
      </c>
      <c r="F193" t="s">
        <v>105</v>
      </c>
      <c r="G193" t="s">
        <v>20</v>
      </c>
      <c r="H193" t="s">
        <v>21</v>
      </c>
      <c r="I193" s="8">
        <v>45014</v>
      </c>
      <c r="J193" s="8"/>
      <c r="K193" t="s">
        <v>22</v>
      </c>
      <c r="L193" s="9">
        <v>47800</v>
      </c>
      <c r="M193" s="10">
        <v>2</v>
      </c>
      <c r="N193" t="s">
        <v>58</v>
      </c>
    </row>
    <row r="194" spans="1:14">
      <c r="A194" t="s">
        <v>447</v>
      </c>
      <c r="B194" t="s">
        <v>448</v>
      </c>
      <c r="C194" t="s">
        <v>16</v>
      </c>
      <c r="D194" t="s">
        <v>74</v>
      </c>
      <c r="E194" t="s">
        <v>18</v>
      </c>
      <c r="F194" t="s">
        <v>19</v>
      </c>
      <c r="G194" t="s">
        <v>35</v>
      </c>
      <c r="H194" t="s">
        <v>21</v>
      </c>
      <c r="I194" s="8">
        <v>43521</v>
      </c>
      <c r="J194" s="8"/>
      <c r="K194" t="s">
        <v>22</v>
      </c>
      <c r="L194" s="9">
        <v>58100</v>
      </c>
      <c r="M194" s="10">
        <v>3</v>
      </c>
      <c r="N194" t="s">
        <v>23</v>
      </c>
    </row>
    <row r="195" spans="1:14">
      <c r="A195" t="s">
        <v>449</v>
      </c>
      <c r="B195" t="s">
        <v>450</v>
      </c>
      <c r="C195" t="s">
        <v>16</v>
      </c>
      <c r="D195" t="s">
        <v>32</v>
      </c>
      <c r="E195" t="s">
        <v>18</v>
      </c>
      <c r="F195" t="s">
        <v>19</v>
      </c>
      <c r="G195" t="s">
        <v>40</v>
      </c>
      <c r="H195" t="s">
        <v>21</v>
      </c>
      <c r="I195" s="8">
        <v>44969</v>
      </c>
      <c r="J195" s="8"/>
      <c r="K195" t="s">
        <v>22</v>
      </c>
      <c r="L195" s="9">
        <v>47300</v>
      </c>
      <c r="M195" s="10">
        <v>5</v>
      </c>
      <c r="N195" t="s">
        <v>23</v>
      </c>
    </row>
    <row r="196" spans="1:14">
      <c r="A196" t="s">
        <v>451</v>
      </c>
      <c r="B196" t="s">
        <v>452</v>
      </c>
      <c r="C196" t="s">
        <v>16</v>
      </c>
      <c r="D196" t="s">
        <v>26</v>
      </c>
      <c r="E196" t="s">
        <v>44</v>
      </c>
      <c r="F196" t="s">
        <v>56</v>
      </c>
      <c r="G196" t="s">
        <v>40</v>
      </c>
      <c r="H196" t="s">
        <v>21</v>
      </c>
      <c r="I196" s="8">
        <v>43202</v>
      </c>
      <c r="J196" s="8"/>
      <c r="K196" t="s">
        <v>22</v>
      </c>
      <c r="L196" s="9">
        <v>41000</v>
      </c>
      <c r="M196" s="10">
        <v>4</v>
      </c>
      <c r="N196" t="s">
        <v>23</v>
      </c>
    </row>
    <row r="197" spans="1:14">
      <c r="A197" t="s">
        <v>453</v>
      </c>
      <c r="B197" t="s">
        <v>454</v>
      </c>
      <c r="C197" t="s">
        <v>16</v>
      </c>
      <c r="D197" t="s">
        <v>17</v>
      </c>
      <c r="E197" t="s">
        <v>64</v>
      </c>
      <c r="F197" t="s">
        <v>65</v>
      </c>
      <c r="G197" t="s">
        <v>20</v>
      </c>
      <c r="H197" t="s">
        <v>21</v>
      </c>
      <c r="I197" s="8">
        <v>43123</v>
      </c>
      <c r="J197" s="8"/>
      <c r="K197" t="s">
        <v>22</v>
      </c>
      <c r="L197" s="9">
        <v>25600</v>
      </c>
      <c r="M197" s="10">
        <v>3</v>
      </c>
      <c r="N197" t="s">
        <v>23</v>
      </c>
    </row>
    <row r="198" spans="1:14">
      <c r="A198" t="s">
        <v>455</v>
      </c>
      <c r="B198" t="s">
        <v>456</v>
      </c>
      <c r="C198" t="s">
        <v>31</v>
      </c>
      <c r="D198" t="s">
        <v>74</v>
      </c>
      <c r="E198" t="s">
        <v>18</v>
      </c>
      <c r="F198" t="s">
        <v>19</v>
      </c>
      <c r="G198" t="s">
        <v>35</v>
      </c>
      <c r="H198" t="s">
        <v>198</v>
      </c>
      <c r="I198" s="8">
        <v>45662</v>
      </c>
      <c r="J198" s="8"/>
      <c r="K198" t="s">
        <v>22</v>
      </c>
      <c r="L198" s="9">
        <v>45600</v>
      </c>
      <c r="M198" s="10">
        <v>5</v>
      </c>
      <c r="N198" t="s">
        <v>58</v>
      </c>
    </row>
    <row r="199" spans="1:14">
      <c r="A199" t="s">
        <v>457</v>
      </c>
      <c r="B199" t="s">
        <v>458</v>
      </c>
      <c r="C199" t="s">
        <v>31</v>
      </c>
      <c r="D199" t="s">
        <v>88</v>
      </c>
      <c r="E199" t="s">
        <v>70</v>
      </c>
      <c r="F199" t="s">
        <v>105</v>
      </c>
      <c r="G199" t="s">
        <v>40</v>
      </c>
      <c r="H199" t="s">
        <v>21</v>
      </c>
      <c r="I199" s="8">
        <v>44893</v>
      </c>
      <c r="J199" s="8"/>
      <c r="K199" t="s">
        <v>22</v>
      </c>
      <c r="L199" s="9">
        <v>45300</v>
      </c>
      <c r="M199" s="10">
        <v>2</v>
      </c>
      <c r="N199" t="s">
        <v>58</v>
      </c>
    </row>
    <row r="200" spans="1:14">
      <c r="A200" t="s">
        <v>459</v>
      </c>
      <c r="B200" t="s">
        <v>460</v>
      </c>
      <c r="C200" t="s">
        <v>16</v>
      </c>
      <c r="D200" t="s">
        <v>43</v>
      </c>
      <c r="E200" t="s">
        <v>70</v>
      </c>
      <c r="F200" t="s">
        <v>102</v>
      </c>
      <c r="G200" t="s">
        <v>57</v>
      </c>
      <c r="H200" t="s">
        <v>21</v>
      </c>
      <c r="I200" s="8">
        <v>45191</v>
      </c>
      <c r="J200" s="8"/>
      <c r="K200" t="s">
        <v>22</v>
      </c>
      <c r="L200" s="9">
        <v>34000</v>
      </c>
      <c r="M200" s="10">
        <v>3</v>
      </c>
      <c r="N200" t="s">
        <v>23</v>
      </c>
    </row>
    <row r="201" spans="1:14">
      <c r="A201" t="s">
        <v>461</v>
      </c>
      <c r="B201" t="s">
        <v>462</v>
      </c>
      <c r="C201" t="s">
        <v>16</v>
      </c>
      <c r="D201" t="s">
        <v>26</v>
      </c>
      <c r="E201" t="s">
        <v>33</v>
      </c>
      <c r="F201" t="s">
        <v>148</v>
      </c>
      <c r="G201" t="s">
        <v>35</v>
      </c>
      <c r="H201" t="s">
        <v>21</v>
      </c>
      <c r="I201" s="8">
        <v>45978</v>
      </c>
      <c r="J201" s="8">
        <v>46022</v>
      </c>
      <c r="K201" t="s">
        <v>36</v>
      </c>
      <c r="L201" s="9">
        <v>50400</v>
      </c>
      <c r="M201" s="10">
        <v>4</v>
      </c>
      <c r="N201" t="s">
        <v>58</v>
      </c>
    </row>
    <row r="202" spans="1:14">
      <c r="A202" t="s">
        <v>463</v>
      </c>
      <c r="B202" t="s">
        <v>464</v>
      </c>
      <c r="C202" t="s">
        <v>16</v>
      </c>
      <c r="D202" t="s">
        <v>43</v>
      </c>
      <c r="E202" t="s">
        <v>27</v>
      </c>
      <c r="F202" t="s">
        <v>75</v>
      </c>
      <c r="G202" t="s">
        <v>20</v>
      </c>
      <c r="H202" t="s">
        <v>21</v>
      </c>
      <c r="I202" s="8">
        <v>44613</v>
      </c>
      <c r="J202" s="8"/>
      <c r="K202" t="s">
        <v>22</v>
      </c>
      <c r="L202" s="9">
        <v>43600</v>
      </c>
      <c r="M202" s="10">
        <v>4</v>
      </c>
      <c r="N202" t="s">
        <v>23</v>
      </c>
    </row>
    <row r="203" spans="1:14">
      <c r="A203" t="s">
        <v>465</v>
      </c>
      <c r="B203" t="s">
        <v>466</v>
      </c>
      <c r="C203" t="s">
        <v>16</v>
      </c>
      <c r="D203" t="s">
        <v>114</v>
      </c>
      <c r="E203" t="s">
        <v>70</v>
      </c>
      <c r="F203" t="s">
        <v>105</v>
      </c>
      <c r="G203" t="s">
        <v>57</v>
      </c>
      <c r="H203" t="s">
        <v>21</v>
      </c>
      <c r="I203" s="8">
        <v>44191</v>
      </c>
      <c r="J203" s="8"/>
      <c r="K203" t="s">
        <v>22</v>
      </c>
      <c r="L203" s="9">
        <v>38000</v>
      </c>
      <c r="M203" s="10">
        <v>4</v>
      </c>
      <c r="N203" t="s">
        <v>23</v>
      </c>
    </row>
    <row r="204" spans="1:14">
      <c r="A204" t="s">
        <v>467</v>
      </c>
      <c r="B204" t="s">
        <v>468</v>
      </c>
      <c r="C204" t="s">
        <v>31</v>
      </c>
      <c r="D204" t="s">
        <v>26</v>
      </c>
      <c r="E204" t="s">
        <v>64</v>
      </c>
      <c r="F204" t="s">
        <v>65</v>
      </c>
      <c r="G204" t="s">
        <v>35</v>
      </c>
      <c r="H204" t="s">
        <v>21</v>
      </c>
      <c r="I204" s="8">
        <v>45595</v>
      </c>
      <c r="J204" s="8"/>
      <c r="K204" t="s">
        <v>22</v>
      </c>
      <c r="L204" s="9">
        <v>35200</v>
      </c>
      <c r="M204" s="10">
        <v>4</v>
      </c>
      <c r="N204" t="s">
        <v>23</v>
      </c>
    </row>
    <row r="205" spans="1:14">
      <c r="A205" t="s">
        <v>469</v>
      </c>
      <c r="B205" t="s">
        <v>470</v>
      </c>
      <c r="C205" t="s">
        <v>16</v>
      </c>
      <c r="D205" t="s">
        <v>114</v>
      </c>
      <c r="E205" t="s">
        <v>44</v>
      </c>
      <c r="F205" t="s">
        <v>45</v>
      </c>
      <c r="G205" t="s">
        <v>57</v>
      </c>
      <c r="H205" t="s">
        <v>46</v>
      </c>
      <c r="I205" s="8">
        <v>43163</v>
      </c>
      <c r="J205" s="8">
        <v>43470</v>
      </c>
      <c r="K205" t="s">
        <v>36</v>
      </c>
      <c r="L205" s="9">
        <v>33100</v>
      </c>
      <c r="M205" s="10">
        <v>3</v>
      </c>
      <c r="N205" t="s">
        <v>58</v>
      </c>
    </row>
    <row r="206" spans="1:14">
      <c r="A206" t="s">
        <v>471</v>
      </c>
      <c r="B206" t="s">
        <v>472</v>
      </c>
      <c r="C206" t="s">
        <v>16</v>
      </c>
      <c r="D206" t="s">
        <v>114</v>
      </c>
      <c r="E206" t="s">
        <v>33</v>
      </c>
      <c r="F206" t="s">
        <v>97</v>
      </c>
      <c r="G206" t="s">
        <v>57</v>
      </c>
      <c r="H206" t="s">
        <v>21</v>
      </c>
      <c r="I206" s="8">
        <v>44495</v>
      </c>
      <c r="J206" s="8"/>
      <c r="K206" t="s">
        <v>22</v>
      </c>
      <c r="L206" s="9">
        <v>44500</v>
      </c>
      <c r="M206" s="10">
        <v>3</v>
      </c>
      <c r="N206" t="s">
        <v>23</v>
      </c>
    </row>
    <row r="207" spans="1:14">
      <c r="A207" t="s">
        <v>473</v>
      </c>
      <c r="B207" t="s">
        <v>474</v>
      </c>
      <c r="C207" t="s">
        <v>31</v>
      </c>
      <c r="D207" t="s">
        <v>17</v>
      </c>
      <c r="E207" t="s">
        <v>64</v>
      </c>
      <c r="F207" t="s">
        <v>65</v>
      </c>
      <c r="G207" t="s">
        <v>57</v>
      </c>
      <c r="H207" t="s">
        <v>21</v>
      </c>
      <c r="I207" s="8">
        <v>45484</v>
      </c>
      <c r="J207" s="8">
        <v>45861</v>
      </c>
      <c r="K207" t="s">
        <v>36</v>
      </c>
      <c r="L207" s="9">
        <v>41800</v>
      </c>
      <c r="M207" s="10">
        <v>4</v>
      </c>
      <c r="N207" t="s">
        <v>23</v>
      </c>
    </row>
    <row r="208" spans="1:14">
      <c r="A208" t="s">
        <v>475</v>
      </c>
      <c r="B208" t="s">
        <v>476</v>
      </c>
      <c r="C208" t="s">
        <v>31</v>
      </c>
      <c r="D208" t="s">
        <v>43</v>
      </c>
      <c r="E208" t="s">
        <v>27</v>
      </c>
      <c r="F208" t="s">
        <v>75</v>
      </c>
      <c r="G208" t="s">
        <v>35</v>
      </c>
      <c r="H208" t="s">
        <v>46</v>
      </c>
      <c r="I208" s="8">
        <v>45083</v>
      </c>
      <c r="J208" s="8">
        <v>45861</v>
      </c>
      <c r="K208" t="s">
        <v>36</v>
      </c>
      <c r="L208" s="9">
        <v>43800</v>
      </c>
      <c r="M208" s="10">
        <v>4</v>
      </c>
      <c r="N208" t="s">
        <v>23</v>
      </c>
    </row>
    <row r="209" spans="1:14">
      <c r="A209" t="s">
        <v>477</v>
      </c>
      <c r="B209" t="s">
        <v>478</v>
      </c>
      <c r="C209" t="s">
        <v>31</v>
      </c>
      <c r="D209" t="s">
        <v>114</v>
      </c>
      <c r="E209" t="s">
        <v>70</v>
      </c>
      <c r="F209" t="s">
        <v>102</v>
      </c>
      <c r="G209" t="s">
        <v>20</v>
      </c>
      <c r="H209" t="s">
        <v>21</v>
      </c>
      <c r="I209" s="8">
        <v>44468</v>
      </c>
      <c r="J209" s="8"/>
      <c r="K209" t="s">
        <v>22</v>
      </c>
      <c r="L209" s="9">
        <v>18000</v>
      </c>
      <c r="M209" s="10">
        <v>4</v>
      </c>
      <c r="N209" t="s">
        <v>23</v>
      </c>
    </row>
    <row r="210" spans="1:14">
      <c r="A210" t="s">
        <v>479</v>
      </c>
      <c r="B210" t="s">
        <v>480</v>
      </c>
      <c r="C210" t="s">
        <v>16</v>
      </c>
      <c r="D210" t="s">
        <v>32</v>
      </c>
      <c r="E210" t="s">
        <v>64</v>
      </c>
      <c r="F210" t="s">
        <v>65</v>
      </c>
      <c r="G210" t="s">
        <v>20</v>
      </c>
      <c r="H210" t="s">
        <v>21</v>
      </c>
      <c r="I210" s="8">
        <v>43243</v>
      </c>
      <c r="J210" s="8"/>
      <c r="K210" t="s">
        <v>22</v>
      </c>
      <c r="L210" s="9">
        <v>40200</v>
      </c>
      <c r="M210" s="10">
        <v>2</v>
      </c>
      <c r="N210" t="s">
        <v>23</v>
      </c>
    </row>
    <row r="211" spans="1:14">
      <c r="A211" t="s">
        <v>481</v>
      </c>
      <c r="B211" t="s">
        <v>482</v>
      </c>
      <c r="C211" t="s">
        <v>16</v>
      </c>
      <c r="D211" t="s">
        <v>74</v>
      </c>
      <c r="E211" t="s">
        <v>33</v>
      </c>
      <c r="F211" t="s">
        <v>97</v>
      </c>
      <c r="G211" t="s">
        <v>40</v>
      </c>
      <c r="H211" t="s">
        <v>198</v>
      </c>
      <c r="I211" s="8">
        <v>44982</v>
      </c>
      <c r="J211" s="8"/>
      <c r="K211" t="s">
        <v>22</v>
      </c>
      <c r="L211" s="9">
        <v>32400</v>
      </c>
      <c r="M211" s="10">
        <v>4</v>
      </c>
      <c r="N211" t="s">
        <v>58</v>
      </c>
    </row>
    <row r="212" spans="1:14">
      <c r="A212" t="s">
        <v>483</v>
      </c>
      <c r="B212" t="s">
        <v>484</v>
      </c>
      <c r="C212" t="s">
        <v>31</v>
      </c>
      <c r="D212" t="s">
        <v>32</v>
      </c>
      <c r="E212" t="s">
        <v>44</v>
      </c>
      <c r="F212" t="s">
        <v>133</v>
      </c>
      <c r="G212" t="s">
        <v>35</v>
      </c>
      <c r="H212" t="s">
        <v>21</v>
      </c>
      <c r="I212" s="8">
        <v>45910</v>
      </c>
      <c r="J212" s="8"/>
      <c r="K212" t="s">
        <v>22</v>
      </c>
      <c r="L212" s="9">
        <v>22700</v>
      </c>
      <c r="M212" s="10">
        <v>4</v>
      </c>
      <c r="N212" t="s">
        <v>58</v>
      </c>
    </row>
    <row r="213" spans="1:14">
      <c r="A213" t="s">
        <v>485</v>
      </c>
      <c r="B213" t="s">
        <v>486</v>
      </c>
      <c r="C213" t="s">
        <v>16</v>
      </c>
      <c r="D213" t="s">
        <v>32</v>
      </c>
      <c r="E213" t="s">
        <v>64</v>
      </c>
      <c r="F213" t="s">
        <v>119</v>
      </c>
      <c r="G213" t="s">
        <v>40</v>
      </c>
      <c r="H213" t="s">
        <v>21</v>
      </c>
      <c r="I213" s="8">
        <v>45446</v>
      </c>
      <c r="J213" s="8"/>
      <c r="K213" t="s">
        <v>22</v>
      </c>
      <c r="L213" s="9">
        <v>50600</v>
      </c>
      <c r="M213" s="10">
        <v>3</v>
      </c>
      <c r="N213" t="s">
        <v>23</v>
      </c>
    </row>
    <row r="214" spans="1:14">
      <c r="A214" t="s">
        <v>487</v>
      </c>
      <c r="B214" t="s">
        <v>488</v>
      </c>
      <c r="C214" t="s">
        <v>31</v>
      </c>
      <c r="D214" t="s">
        <v>114</v>
      </c>
      <c r="E214" t="s">
        <v>33</v>
      </c>
      <c r="F214" t="s">
        <v>34</v>
      </c>
      <c r="G214" t="s">
        <v>40</v>
      </c>
      <c r="H214" t="s">
        <v>21</v>
      </c>
      <c r="I214" s="8">
        <v>45919</v>
      </c>
      <c r="J214" s="8"/>
      <c r="K214" t="s">
        <v>22</v>
      </c>
      <c r="L214" s="9">
        <v>36400</v>
      </c>
      <c r="M214" s="10">
        <v>4</v>
      </c>
      <c r="N214" t="s">
        <v>23</v>
      </c>
    </row>
    <row r="215" spans="1:14">
      <c r="A215" t="s">
        <v>489</v>
      </c>
      <c r="B215" t="s">
        <v>490</v>
      </c>
      <c r="C215" t="s">
        <v>31</v>
      </c>
      <c r="D215" t="s">
        <v>88</v>
      </c>
      <c r="E215" t="s">
        <v>27</v>
      </c>
      <c r="F215" t="s">
        <v>75</v>
      </c>
      <c r="G215" t="s">
        <v>20</v>
      </c>
      <c r="H215" t="s">
        <v>21</v>
      </c>
      <c r="I215" s="8">
        <v>44174</v>
      </c>
      <c r="J215" s="8"/>
      <c r="K215" t="s">
        <v>22</v>
      </c>
      <c r="L215" s="9">
        <v>65500</v>
      </c>
      <c r="M215" s="10">
        <v>3</v>
      </c>
      <c r="N215" t="s">
        <v>58</v>
      </c>
    </row>
    <row r="216" spans="1:14">
      <c r="A216" t="s">
        <v>491</v>
      </c>
      <c r="B216" t="s">
        <v>492</v>
      </c>
      <c r="C216" t="s">
        <v>16</v>
      </c>
      <c r="D216" t="s">
        <v>17</v>
      </c>
      <c r="E216" t="s">
        <v>64</v>
      </c>
      <c r="F216" t="s">
        <v>92</v>
      </c>
      <c r="G216" t="s">
        <v>57</v>
      </c>
      <c r="H216" t="s">
        <v>21</v>
      </c>
      <c r="I216" s="8">
        <v>45217</v>
      </c>
      <c r="J216" s="8"/>
      <c r="K216" t="s">
        <v>22</v>
      </c>
      <c r="L216" s="9">
        <v>25100</v>
      </c>
      <c r="M216" s="10">
        <v>4</v>
      </c>
      <c r="N216" t="s">
        <v>58</v>
      </c>
    </row>
    <row r="217" spans="1:14">
      <c r="A217" t="s">
        <v>493</v>
      </c>
      <c r="B217" t="s">
        <v>494</v>
      </c>
      <c r="C217" t="s">
        <v>16</v>
      </c>
      <c r="D217" t="s">
        <v>17</v>
      </c>
      <c r="E217" t="s">
        <v>44</v>
      </c>
      <c r="F217" t="s">
        <v>45</v>
      </c>
      <c r="G217" t="s">
        <v>20</v>
      </c>
      <c r="H217" t="s">
        <v>21</v>
      </c>
      <c r="I217" s="8">
        <v>43137</v>
      </c>
      <c r="J217" s="8"/>
      <c r="K217" t="s">
        <v>22</v>
      </c>
      <c r="L217" s="9">
        <v>34900</v>
      </c>
      <c r="M217" s="10">
        <v>5</v>
      </c>
      <c r="N217" t="s">
        <v>23</v>
      </c>
    </row>
    <row r="218" spans="1:14">
      <c r="A218" t="s">
        <v>495</v>
      </c>
      <c r="B218" t="s">
        <v>496</v>
      </c>
      <c r="C218" t="s">
        <v>16</v>
      </c>
      <c r="D218" t="s">
        <v>32</v>
      </c>
      <c r="E218" t="s">
        <v>18</v>
      </c>
      <c r="F218" t="s">
        <v>39</v>
      </c>
      <c r="G218" t="s">
        <v>20</v>
      </c>
      <c r="H218" t="s">
        <v>21</v>
      </c>
      <c r="I218" s="8">
        <v>43648</v>
      </c>
      <c r="J218" s="8"/>
      <c r="K218" t="s">
        <v>22</v>
      </c>
      <c r="L218" s="9">
        <v>60500</v>
      </c>
      <c r="M218" s="10">
        <v>1</v>
      </c>
      <c r="N218" t="s">
        <v>23</v>
      </c>
    </row>
    <row r="219" spans="1:14">
      <c r="A219" t="s">
        <v>497</v>
      </c>
      <c r="B219" t="s">
        <v>498</v>
      </c>
      <c r="C219" t="s">
        <v>16</v>
      </c>
      <c r="D219" t="s">
        <v>74</v>
      </c>
      <c r="E219" t="s">
        <v>70</v>
      </c>
      <c r="F219" t="s">
        <v>102</v>
      </c>
      <c r="G219" t="s">
        <v>20</v>
      </c>
      <c r="H219" t="s">
        <v>21</v>
      </c>
      <c r="I219" s="8">
        <v>44199</v>
      </c>
      <c r="J219" s="8"/>
      <c r="K219" t="s">
        <v>22</v>
      </c>
      <c r="L219" s="9">
        <v>25800</v>
      </c>
      <c r="M219" s="10">
        <v>4</v>
      </c>
      <c r="N219" t="s">
        <v>58</v>
      </c>
    </row>
    <row r="220" spans="1:14">
      <c r="A220" t="s">
        <v>499</v>
      </c>
      <c r="B220" t="s">
        <v>500</v>
      </c>
      <c r="C220" t="s">
        <v>31</v>
      </c>
      <c r="D220" t="s">
        <v>32</v>
      </c>
      <c r="E220" t="s">
        <v>64</v>
      </c>
      <c r="F220" t="s">
        <v>119</v>
      </c>
      <c r="G220" t="s">
        <v>40</v>
      </c>
      <c r="H220" t="s">
        <v>21</v>
      </c>
      <c r="I220" s="8">
        <v>44700</v>
      </c>
      <c r="J220" s="8"/>
      <c r="K220" t="s">
        <v>22</v>
      </c>
      <c r="L220" s="9">
        <v>58900</v>
      </c>
      <c r="M220" s="10">
        <v>2</v>
      </c>
      <c r="N220" t="s">
        <v>58</v>
      </c>
    </row>
    <row r="221" spans="1:14">
      <c r="A221" t="s">
        <v>501</v>
      </c>
      <c r="B221" t="s">
        <v>502</v>
      </c>
      <c r="C221" t="s">
        <v>31</v>
      </c>
      <c r="D221" t="s">
        <v>74</v>
      </c>
      <c r="E221" t="s">
        <v>64</v>
      </c>
      <c r="F221" t="s">
        <v>92</v>
      </c>
      <c r="G221" t="s">
        <v>57</v>
      </c>
      <c r="H221" t="s">
        <v>21</v>
      </c>
      <c r="I221" s="8">
        <v>43153</v>
      </c>
      <c r="J221" s="8">
        <v>43345</v>
      </c>
      <c r="K221" t="s">
        <v>36</v>
      </c>
      <c r="L221" s="9">
        <v>27800</v>
      </c>
      <c r="M221" s="10">
        <v>4</v>
      </c>
      <c r="N221" t="s">
        <v>58</v>
      </c>
    </row>
    <row r="222" spans="1:14">
      <c r="A222" t="s">
        <v>503</v>
      </c>
      <c r="B222" t="s">
        <v>504</v>
      </c>
      <c r="C222" t="s">
        <v>31</v>
      </c>
      <c r="D222" t="s">
        <v>74</v>
      </c>
      <c r="E222" t="s">
        <v>70</v>
      </c>
      <c r="F222" t="s">
        <v>71</v>
      </c>
      <c r="G222" t="s">
        <v>57</v>
      </c>
      <c r="H222" t="s">
        <v>21</v>
      </c>
      <c r="I222" s="8">
        <v>45487</v>
      </c>
      <c r="J222" s="8"/>
      <c r="K222" t="s">
        <v>22</v>
      </c>
      <c r="L222" s="9">
        <v>21800</v>
      </c>
      <c r="M222" s="10">
        <v>4</v>
      </c>
      <c r="N222" t="s">
        <v>23</v>
      </c>
    </row>
    <row r="223" spans="1:14">
      <c r="A223" t="s">
        <v>505</v>
      </c>
      <c r="B223" t="s">
        <v>506</v>
      </c>
      <c r="C223" t="s">
        <v>31</v>
      </c>
      <c r="D223" t="s">
        <v>74</v>
      </c>
      <c r="E223" t="s">
        <v>64</v>
      </c>
      <c r="F223" t="s">
        <v>92</v>
      </c>
      <c r="G223" t="s">
        <v>35</v>
      </c>
      <c r="H223" t="s">
        <v>46</v>
      </c>
      <c r="I223" s="8">
        <v>43302</v>
      </c>
      <c r="J223" s="8"/>
      <c r="K223" t="s">
        <v>22</v>
      </c>
      <c r="L223" s="9">
        <v>19300</v>
      </c>
      <c r="M223" s="10">
        <v>3</v>
      </c>
      <c r="N223" t="s">
        <v>23</v>
      </c>
    </row>
    <row r="224" spans="1:14">
      <c r="A224" t="s">
        <v>507</v>
      </c>
      <c r="B224" t="s">
        <v>508</v>
      </c>
      <c r="C224" t="s">
        <v>31</v>
      </c>
      <c r="D224" t="s">
        <v>32</v>
      </c>
      <c r="E224" t="s">
        <v>44</v>
      </c>
      <c r="F224" t="s">
        <v>45</v>
      </c>
      <c r="G224" t="s">
        <v>40</v>
      </c>
      <c r="H224" t="s">
        <v>198</v>
      </c>
      <c r="I224" s="8">
        <v>44982</v>
      </c>
      <c r="J224" s="8"/>
      <c r="K224" t="s">
        <v>22</v>
      </c>
      <c r="L224" s="9">
        <v>39700</v>
      </c>
      <c r="M224" s="10">
        <v>2</v>
      </c>
      <c r="N224" t="s">
        <v>23</v>
      </c>
    </row>
    <row r="225" spans="1:14">
      <c r="A225" t="s">
        <v>509</v>
      </c>
      <c r="B225" t="s">
        <v>510</v>
      </c>
      <c r="C225" t="s">
        <v>31</v>
      </c>
      <c r="D225" t="s">
        <v>114</v>
      </c>
      <c r="E225" t="s">
        <v>27</v>
      </c>
      <c r="F225" t="s">
        <v>75</v>
      </c>
      <c r="G225" t="s">
        <v>40</v>
      </c>
      <c r="H225" t="s">
        <v>21</v>
      </c>
      <c r="I225" s="8">
        <v>43195</v>
      </c>
      <c r="J225" s="8"/>
      <c r="K225" t="s">
        <v>22</v>
      </c>
      <c r="L225" s="9">
        <v>49600</v>
      </c>
      <c r="M225" s="10">
        <v>5</v>
      </c>
      <c r="N225" t="s">
        <v>58</v>
      </c>
    </row>
    <row r="226" spans="1:14">
      <c r="A226" t="s">
        <v>511</v>
      </c>
      <c r="B226" t="s">
        <v>512</v>
      </c>
      <c r="C226" t="s">
        <v>31</v>
      </c>
      <c r="D226" t="s">
        <v>17</v>
      </c>
      <c r="E226" t="s">
        <v>18</v>
      </c>
      <c r="F226" t="s">
        <v>39</v>
      </c>
      <c r="G226" t="s">
        <v>20</v>
      </c>
      <c r="H226" t="s">
        <v>21</v>
      </c>
      <c r="I226" s="8">
        <v>45698</v>
      </c>
      <c r="J226" s="8"/>
      <c r="K226" t="s">
        <v>22</v>
      </c>
      <c r="L226" s="9">
        <v>55300</v>
      </c>
      <c r="M226" s="10">
        <v>3</v>
      </c>
      <c r="N226" t="s">
        <v>58</v>
      </c>
    </row>
    <row r="227" spans="1:14">
      <c r="A227" t="s">
        <v>513</v>
      </c>
      <c r="B227" t="s">
        <v>514</v>
      </c>
      <c r="C227" t="s">
        <v>16</v>
      </c>
      <c r="D227" t="s">
        <v>43</v>
      </c>
      <c r="E227" t="s">
        <v>18</v>
      </c>
      <c r="F227" t="s">
        <v>89</v>
      </c>
      <c r="G227" t="s">
        <v>57</v>
      </c>
      <c r="H227" t="s">
        <v>21</v>
      </c>
      <c r="I227" s="8">
        <v>44146</v>
      </c>
      <c r="J227" s="8"/>
      <c r="K227" t="s">
        <v>22</v>
      </c>
      <c r="L227" s="9">
        <v>55500</v>
      </c>
      <c r="M227" s="10">
        <v>3</v>
      </c>
      <c r="N227" t="s">
        <v>23</v>
      </c>
    </row>
    <row r="228" spans="1:14">
      <c r="A228" t="s">
        <v>515</v>
      </c>
      <c r="B228" t="s">
        <v>516</v>
      </c>
      <c r="C228" t="s">
        <v>31</v>
      </c>
      <c r="D228" t="s">
        <v>49</v>
      </c>
      <c r="E228" t="s">
        <v>70</v>
      </c>
      <c r="F228" t="s">
        <v>102</v>
      </c>
      <c r="G228" t="s">
        <v>35</v>
      </c>
      <c r="H228" t="s">
        <v>21</v>
      </c>
      <c r="I228" s="8">
        <v>45903</v>
      </c>
      <c r="J228" s="8"/>
      <c r="K228" t="s">
        <v>22</v>
      </c>
      <c r="L228" s="9">
        <v>29000</v>
      </c>
      <c r="M228" s="10">
        <v>4</v>
      </c>
      <c r="N228" t="s">
        <v>58</v>
      </c>
    </row>
    <row r="229" spans="1:14">
      <c r="A229" t="s">
        <v>517</v>
      </c>
      <c r="B229" t="s">
        <v>518</v>
      </c>
      <c r="C229" t="s">
        <v>31</v>
      </c>
      <c r="D229" t="s">
        <v>17</v>
      </c>
      <c r="E229" t="s">
        <v>64</v>
      </c>
      <c r="F229" t="s">
        <v>65</v>
      </c>
      <c r="G229" t="s">
        <v>35</v>
      </c>
      <c r="H229" t="s">
        <v>21</v>
      </c>
      <c r="I229" s="8">
        <v>45806</v>
      </c>
      <c r="J229" s="8"/>
      <c r="K229" t="s">
        <v>22</v>
      </c>
      <c r="L229" s="9">
        <v>42500</v>
      </c>
      <c r="M229" s="10">
        <v>2</v>
      </c>
      <c r="N229" t="s">
        <v>58</v>
      </c>
    </row>
    <row r="230" spans="1:14">
      <c r="A230" t="s">
        <v>519</v>
      </c>
      <c r="B230" t="s">
        <v>520</v>
      </c>
      <c r="C230" t="s">
        <v>16</v>
      </c>
      <c r="D230" t="s">
        <v>49</v>
      </c>
      <c r="E230" t="s">
        <v>70</v>
      </c>
      <c r="F230" t="s">
        <v>105</v>
      </c>
      <c r="G230" t="s">
        <v>57</v>
      </c>
      <c r="H230" t="s">
        <v>21</v>
      </c>
      <c r="I230" s="8">
        <v>43785</v>
      </c>
      <c r="J230" s="8">
        <v>45470</v>
      </c>
      <c r="K230" t="s">
        <v>36</v>
      </c>
      <c r="L230" s="9">
        <v>36700</v>
      </c>
      <c r="M230" s="10">
        <v>5</v>
      </c>
      <c r="N230" t="s">
        <v>23</v>
      </c>
    </row>
    <row r="231" spans="1:14">
      <c r="A231" t="s">
        <v>521</v>
      </c>
      <c r="B231" t="s">
        <v>522</v>
      </c>
      <c r="C231" t="s">
        <v>31</v>
      </c>
      <c r="D231" t="s">
        <v>49</v>
      </c>
      <c r="E231" t="s">
        <v>70</v>
      </c>
      <c r="F231" t="s">
        <v>105</v>
      </c>
      <c r="G231" t="s">
        <v>35</v>
      </c>
      <c r="H231" t="s">
        <v>21</v>
      </c>
      <c r="I231" s="8">
        <v>43611</v>
      </c>
      <c r="J231" s="8"/>
      <c r="K231" t="s">
        <v>22</v>
      </c>
      <c r="L231" s="9">
        <v>39700</v>
      </c>
      <c r="M231" s="10">
        <v>3</v>
      </c>
      <c r="N231" t="s">
        <v>23</v>
      </c>
    </row>
    <row r="232" spans="1:14">
      <c r="A232" t="s">
        <v>523</v>
      </c>
      <c r="B232" t="s">
        <v>524</v>
      </c>
      <c r="C232" t="s">
        <v>16</v>
      </c>
      <c r="D232" t="s">
        <v>26</v>
      </c>
      <c r="E232" t="s">
        <v>44</v>
      </c>
      <c r="F232" t="s">
        <v>45</v>
      </c>
      <c r="G232" t="s">
        <v>20</v>
      </c>
      <c r="H232" t="s">
        <v>46</v>
      </c>
      <c r="I232" s="8">
        <v>44586</v>
      </c>
      <c r="J232" s="8">
        <v>45302</v>
      </c>
      <c r="K232" t="s">
        <v>36</v>
      </c>
      <c r="L232" s="9">
        <v>34200</v>
      </c>
      <c r="M232" s="10">
        <v>5</v>
      </c>
      <c r="N232" t="s">
        <v>23</v>
      </c>
    </row>
    <row r="233" spans="1:14">
      <c r="A233" t="s">
        <v>525</v>
      </c>
      <c r="B233" t="s">
        <v>526</v>
      </c>
      <c r="C233" t="s">
        <v>31</v>
      </c>
      <c r="D233" t="s">
        <v>26</v>
      </c>
      <c r="E233" t="s">
        <v>33</v>
      </c>
      <c r="F233" t="s">
        <v>148</v>
      </c>
      <c r="G233" t="s">
        <v>35</v>
      </c>
      <c r="H233" t="s">
        <v>21</v>
      </c>
      <c r="I233" s="8">
        <v>44054</v>
      </c>
      <c r="J233" s="8"/>
      <c r="K233" t="s">
        <v>22</v>
      </c>
      <c r="L233" s="9">
        <v>42900</v>
      </c>
      <c r="M233" s="10">
        <v>2</v>
      </c>
      <c r="N233" t="s">
        <v>23</v>
      </c>
    </row>
    <row r="234" spans="1:14">
      <c r="A234" t="s">
        <v>527</v>
      </c>
      <c r="B234" t="s">
        <v>528</v>
      </c>
      <c r="C234" t="s">
        <v>31</v>
      </c>
      <c r="D234" t="s">
        <v>17</v>
      </c>
      <c r="E234" t="s">
        <v>27</v>
      </c>
      <c r="F234" t="s">
        <v>75</v>
      </c>
      <c r="G234" t="s">
        <v>20</v>
      </c>
      <c r="H234" t="s">
        <v>21</v>
      </c>
      <c r="I234" s="8">
        <v>45889</v>
      </c>
      <c r="J234" s="8"/>
      <c r="K234" t="s">
        <v>22</v>
      </c>
      <c r="L234" s="9">
        <v>39400</v>
      </c>
      <c r="M234" s="10">
        <v>2</v>
      </c>
      <c r="N234" t="s">
        <v>23</v>
      </c>
    </row>
    <row r="235" spans="1:14">
      <c r="A235" t="s">
        <v>529</v>
      </c>
      <c r="B235" t="s">
        <v>530</v>
      </c>
      <c r="C235" t="s">
        <v>16</v>
      </c>
      <c r="D235" t="s">
        <v>17</v>
      </c>
      <c r="E235" t="s">
        <v>27</v>
      </c>
      <c r="F235" t="s">
        <v>75</v>
      </c>
      <c r="G235" t="s">
        <v>35</v>
      </c>
      <c r="H235" t="s">
        <v>21</v>
      </c>
      <c r="I235" s="8">
        <v>45858</v>
      </c>
      <c r="J235" s="8"/>
      <c r="K235" t="s">
        <v>22</v>
      </c>
      <c r="L235" s="9">
        <v>53800</v>
      </c>
      <c r="M235" s="10">
        <v>4</v>
      </c>
      <c r="N235" t="s">
        <v>58</v>
      </c>
    </row>
    <row r="236" spans="1:14">
      <c r="A236" t="s">
        <v>531</v>
      </c>
      <c r="B236" t="s">
        <v>532</v>
      </c>
      <c r="C236" t="s">
        <v>31</v>
      </c>
      <c r="D236" t="s">
        <v>49</v>
      </c>
      <c r="E236" t="s">
        <v>44</v>
      </c>
      <c r="F236" t="s">
        <v>56</v>
      </c>
      <c r="G236" t="s">
        <v>20</v>
      </c>
      <c r="H236" t="s">
        <v>21</v>
      </c>
      <c r="I236" s="8">
        <v>45953</v>
      </c>
      <c r="J236" s="8"/>
      <c r="K236" t="s">
        <v>22</v>
      </c>
      <c r="L236" s="9">
        <v>18000</v>
      </c>
      <c r="M236" s="10">
        <v>5</v>
      </c>
      <c r="N236" t="s">
        <v>23</v>
      </c>
    </row>
    <row r="237" spans="1:14">
      <c r="A237" t="s">
        <v>533</v>
      </c>
      <c r="B237" t="s">
        <v>534</v>
      </c>
      <c r="C237" t="s">
        <v>31</v>
      </c>
      <c r="D237" t="s">
        <v>88</v>
      </c>
      <c r="E237" t="s">
        <v>18</v>
      </c>
      <c r="F237" t="s">
        <v>39</v>
      </c>
      <c r="G237" t="s">
        <v>35</v>
      </c>
      <c r="H237" t="s">
        <v>21</v>
      </c>
      <c r="I237" s="8">
        <v>45805</v>
      </c>
      <c r="J237" s="8"/>
      <c r="K237" t="s">
        <v>22</v>
      </c>
      <c r="L237" s="9">
        <v>61300</v>
      </c>
      <c r="M237" s="10">
        <v>3</v>
      </c>
      <c r="N237" t="s">
        <v>23</v>
      </c>
    </row>
    <row r="238" spans="1:14">
      <c r="A238" t="s">
        <v>535</v>
      </c>
      <c r="B238" t="s">
        <v>536</v>
      </c>
      <c r="C238" t="s">
        <v>31</v>
      </c>
      <c r="D238" t="s">
        <v>43</v>
      </c>
      <c r="E238" t="s">
        <v>70</v>
      </c>
      <c r="F238" t="s">
        <v>105</v>
      </c>
      <c r="G238" t="s">
        <v>57</v>
      </c>
      <c r="H238" t="s">
        <v>21</v>
      </c>
      <c r="I238" s="8">
        <v>43626</v>
      </c>
      <c r="J238" s="8"/>
      <c r="K238" t="s">
        <v>22</v>
      </c>
      <c r="L238" s="9">
        <v>48000</v>
      </c>
      <c r="M238" s="10">
        <v>3</v>
      </c>
      <c r="N238" t="s">
        <v>23</v>
      </c>
    </row>
    <row r="239" spans="1:14">
      <c r="A239" t="s">
        <v>537</v>
      </c>
      <c r="B239" t="s">
        <v>538</v>
      </c>
      <c r="C239" t="s">
        <v>16</v>
      </c>
      <c r="D239" t="s">
        <v>74</v>
      </c>
      <c r="E239" t="s">
        <v>70</v>
      </c>
      <c r="F239" t="s">
        <v>71</v>
      </c>
      <c r="G239" t="s">
        <v>35</v>
      </c>
      <c r="H239" t="s">
        <v>21</v>
      </c>
      <c r="I239" s="8">
        <v>44957</v>
      </c>
      <c r="J239" s="8"/>
      <c r="K239" t="s">
        <v>22</v>
      </c>
      <c r="L239" s="9">
        <v>27300</v>
      </c>
      <c r="M239" s="10">
        <v>1</v>
      </c>
      <c r="N239" t="s">
        <v>23</v>
      </c>
    </row>
    <row r="240" spans="1:14">
      <c r="A240" t="s">
        <v>539</v>
      </c>
      <c r="B240" t="s">
        <v>540</v>
      </c>
      <c r="C240" t="s">
        <v>31</v>
      </c>
      <c r="D240" t="s">
        <v>32</v>
      </c>
      <c r="E240" t="s">
        <v>70</v>
      </c>
      <c r="F240" t="s">
        <v>105</v>
      </c>
      <c r="G240" t="s">
        <v>20</v>
      </c>
      <c r="H240" t="s">
        <v>21</v>
      </c>
      <c r="I240" s="8">
        <v>44473</v>
      </c>
      <c r="J240" s="8">
        <v>44790</v>
      </c>
      <c r="K240" t="s">
        <v>36</v>
      </c>
      <c r="L240" s="9">
        <v>39500</v>
      </c>
      <c r="M240" s="10">
        <v>5</v>
      </c>
      <c r="N240" t="s">
        <v>23</v>
      </c>
    </row>
    <row r="241" spans="1:14">
      <c r="A241" t="s">
        <v>541</v>
      </c>
      <c r="B241" t="s">
        <v>542</v>
      </c>
      <c r="C241" t="s">
        <v>31</v>
      </c>
      <c r="D241" t="s">
        <v>17</v>
      </c>
      <c r="E241" t="s">
        <v>33</v>
      </c>
      <c r="F241" t="s">
        <v>97</v>
      </c>
      <c r="G241" t="s">
        <v>20</v>
      </c>
      <c r="H241" t="s">
        <v>21</v>
      </c>
      <c r="I241" s="8">
        <v>44977</v>
      </c>
      <c r="J241" s="8"/>
      <c r="K241" t="s">
        <v>22</v>
      </c>
      <c r="L241" s="9">
        <v>41200</v>
      </c>
      <c r="M241" s="10">
        <v>5</v>
      </c>
      <c r="N241" t="s">
        <v>23</v>
      </c>
    </row>
    <row r="242" spans="1:14">
      <c r="A242" t="s">
        <v>543</v>
      </c>
      <c r="B242" t="s">
        <v>544</v>
      </c>
      <c r="C242" t="s">
        <v>16</v>
      </c>
      <c r="D242" t="s">
        <v>49</v>
      </c>
      <c r="E242" t="s">
        <v>70</v>
      </c>
      <c r="F242" t="s">
        <v>71</v>
      </c>
      <c r="G242" t="s">
        <v>57</v>
      </c>
      <c r="H242" t="s">
        <v>21</v>
      </c>
      <c r="I242" s="8">
        <v>44261</v>
      </c>
      <c r="J242" s="8"/>
      <c r="K242" t="s">
        <v>22</v>
      </c>
      <c r="L242" s="9">
        <v>36200</v>
      </c>
      <c r="M242" s="10">
        <v>4</v>
      </c>
      <c r="N242" t="s">
        <v>58</v>
      </c>
    </row>
    <row r="243" spans="1:14">
      <c r="A243" t="s">
        <v>545</v>
      </c>
      <c r="B243" t="s">
        <v>546</v>
      </c>
      <c r="C243" t="s">
        <v>31</v>
      </c>
      <c r="D243" t="s">
        <v>17</v>
      </c>
      <c r="E243" t="s">
        <v>33</v>
      </c>
      <c r="F243" t="s">
        <v>148</v>
      </c>
      <c r="G243" t="s">
        <v>20</v>
      </c>
      <c r="H243" t="s">
        <v>46</v>
      </c>
      <c r="I243" s="8">
        <v>45824</v>
      </c>
      <c r="J243" s="8"/>
      <c r="K243" t="s">
        <v>22</v>
      </c>
      <c r="L243" s="9">
        <v>43100</v>
      </c>
      <c r="M243" s="10">
        <v>2</v>
      </c>
      <c r="N243" t="s">
        <v>23</v>
      </c>
    </row>
    <row r="244" spans="1:14">
      <c r="A244" t="s">
        <v>547</v>
      </c>
      <c r="B244" t="s">
        <v>548</v>
      </c>
      <c r="C244" t="s">
        <v>31</v>
      </c>
      <c r="D244" t="s">
        <v>88</v>
      </c>
      <c r="E244" t="s">
        <v>27</v>
      </c>
      <c r="F244" t="s">
        <v>75</v>
      </c>
      <c r="G244" t="s">
        <v>40</v>
      </c>
      <c r="H244" t="s">
        <v>21</v>
      </c>
      <c r="I244" s="8">
        <v>44397</v>
      </c>
      <c r="J244" s="8"/>
      <c r="K244" t="s">
        <v>22</v>
      </c>
      <c r="L244" s="9">
        <v>47400</v>
      </c>
      <c r="M244" s="10">
        <v>3</v>
      </c>
      <c r="N244" t="s">
        <v>23</v>
      </c>
    </row>
    <row r="245" spans="1:14">
      <c r="A245" t="s">
        <v>549</v>
      </c>
      <c r="B245" t="s">
        <v>550</v>
      </c>
      <c r="C245" t="s">
        <v>16</v>
      </c>
      <c r="D245" t="s">
        <v>17</v>
      </c>
      <c r="E245" t="s">
        <v>44</v>
      </c>
      <c r="F245" t="s">
        <v>56</v>
      </c>
      <c r="G245" t="s">
        <v>57</v>
      </c>
      <c r="H245" t="s">
        <v>21</v>
      </c>
      <c r="I245" s="8">
        <v>45128</v>
      </c>
      <c r="J245" s="8"/>
      <c r="K245" t="s">
        <v>22</v>
      </c>
      <c r="L245" s="9">
        <v>38100</v>
      </c>
      <c r="M245" s="10">
        <v>5</v>
      </c>
      <c r="N245" t="s">
        <v>23</v>
      </c>
    </row>
    <row r="246" spans="1:14">
      <c r="A246" t="s">
        <v>551</v>
      </c>
      <c r="B246" t="s">
        <v>552</v>
      </c>
      <c r="C246" t="s">
        <v>31</v>
      </c>
      <c r="D246" t="s">
        <v>26</v>
      </c>
      <c r="E246" t="s">
        <v>27</v>
      </c>
      <c r="F246" t="s">
        <v>28</v>
      </c>
      <c r="G246" t="s">
        <v>57</v>
      </c>
      <c r="H246" t="s">
        <v>21</v>
      </c>
      <c r="I246" s="8">
        <v>43213</v>
      </c>
      <c r="J246" s="8"/>
      <c r="K246" t="s">
        <v>22</v>
      </c>
      <c r="L246" s="9">
        <v>45800</v>
      </c>
      <c r="M246" s="10">
        <v>3</v>
      </c>
      <c r="N246" t="s">
        <v>23</v>
      </c>
    </row>
    <row r="247" spans="1:14">
      <c r="A247" t="s">
        <v>553</v>
      </c>
      <c r="B247" t="s">
        <v>554</v>
      </c>
      <c r="C247" t="s">
        <v>16</v>
      </c>
      <c r="D247" t="s">
        <v>74</v>
      </c>
      <c r="E247" t="s">
        <v>27</v>
      </c>
      <c r="F247" t="s">
        <v>61</v>
      </c>
      <c r="G247" t="s">
        <v>40</v>
      </c>
      <c r="H247" t="s">
        <v>21</v>
      </c>
      <c r="I247" s="8">
        <v>44947</v>
      </c>
      <c r="J247" s="8"/>
      <c r="K247" t="s">
        <v>22</v>
      </c>
      <c r="L247" s="9">
        <v>32900</v>
      </c>
      <c r="M247" s="10">
        <v>3</v>
      </c>
      <c r="N247" t="s">
        <v>58</v>
      </c>
    </row>
    <row r="248" spans="1:14">
      <c r="A248" t="s">
        <v>555</v>
      </c>
      <c r="B248" t="s">
        <v>556</v>
      </c>
      <c r="C248" t="s">
        <v>16</v>
      </c>
      <c r="D248" t="s">
        <v>88</v>
      </c>
      <c r="E248" t="s">
        <v>27</v>
      </c>
      <c r="F248" t="s">
        <v>28</v>
      </c>
      <c r="G248" t="s">
        <v>40</v>
      </c>
      <c r="H248" t="s">
        <v>21</v>
      </c>
      <c r="I248" s="8">
        <v>44846</v>
      </c>
      <c r="J248" s="8"/>
      <c r="K248" t="s">
        <v>22</v>
      </c>
      <c r="L248" s="9">
        <v>29600</v>
      </c>
      <c r="M248" s="10">
        <v>3</v>
      </c>
      <c r="N248" t="s">
        <v>58</v>
      </c>
    </row>
    <row r="249" spans="1:14">
      <c r="A249" t="s">
        <v>557</v>
      </c>
      <c r="B249" t="s">
        <v>558</v>
      </c>
      <c r="C249" t="s">
        <v>31</v>
      </c>
      <c r="D249" t="s">
        <v>32</v>
      </c>
      <c r="E249" t="s">
        <v>18</v>
      </c>
      <c r="F249" t="s">
        <v>39</v>
      </c>
      <c r="G249" t="s">
        <v>40</v>
      </c>
      <c r="H249" t="s">
        <v>21</v>
      </c>
      <c r="I249" s="8">
        <v>43262</v>
      </c>
      <c r="J249" s="8"/>
      <c r="K249" t="s">
        <v>22</v>
      </c>
      <c r="L249" s="9">
        <v>66100</v>
      </c>
      <c r="M249" s="10">
        <v>3</v>
      </c>
      <c r="N249" t="s">
        <v>23</v>
      </c>
    </row>
    <row r="250" spans="1:14">
      <c r="A250" t="s">
        <v>559</v>
      </c>
      <c r="B250" t="s">
        <v>560</v>
      </c>
      <c r="C250" t="s">
        <v>31</v>
      </c>
      <c r="D250" t="s">
        <v>32</v>
      </c>
      <c r="E250" t="s">
        <v>44</v>
      </c>
      <c r="F250" t="s">
        <v>56</v>
      </c>
      <c r="G250" t="s">
        <v>20</v>
      </c>
      <c r="H250" t="s">
        <v>21</v>
      </c>
      <c r="I250" s="8">
        <v>45673</v>
      </c>
      <c r="J250" s="8"/>
      <c r="K250" t="s">
        <v>22</v>
      </c>
      <c r="L250" s="9">
        <v>27300</v>
      </c>
      <c r="M250" s="10">
        <v>3</v>
      </c>
      <c r="N250" t="s">
        <v>23</v>
      </c>
    </row>
    <row r="251" spans="1:14">
      <c r="A251" t="s">
        <v>561</v>
      </c>
      <c r="B251" t="s">
        <v>562</v>
      </c>
      <c r="C251" t="s">
        <v>31</v>
      </c>
      <c r="D251" t="s">
        <v>17</v>
      </c>
      <c r="E251" t="s">
        <v>64</v>
      </c>
      <c r="F251" t="s">
        <v>65</v>
      </c>
      <c r="G251" t="s">
        <v>35</v>
      </c>
      <c r="H251" t="s">
        <v>21</v>
      </c>
      <c r="I251" s="8">
        <v>43714</v>
      </c>
      <c r="J251" s="8"/>
      <c r="K251" t="s">
        <v>22</v>
      </c>
      <c r="L251" s="9">
        <v>36800</v>
      </c>
      <c r="M251" s="10">
        <v>3</v>
      </c>
      <c r="N251" t="s">
        <v>23</v>
      </c>
    </row>
    <row r="252" spans="1:14">
      <c r="A252" t="s">
        <v>563</v>
      </c>
      <c r="B252" t="s">
        <v>564</v>
      </c>
      <c r="C252" t="s">
        <v>16</v>
      </c>
      <c r="D252" t="s">
        <v>32</v>
      </c>
      <c r="E252" t="s">
        <v>27</v>
      </c>
      <c r="F252" t="s">
        <v>61</v>
      </c>
      <c r="G252" t="s">
        <v>57</v>
      </c>
      <c r="H252" t="s">
        <v>21</v>
      </c>
      <c r="I252" s="8">
        <v>45875</v>
      </c>
      <c r="J252" s="8"/>
      <c r="K252" t="s">
        <v>22</v>
      </c>
      <c r="L252" s="9">
        <v>46000</v>
      </c>
      <c r="M252" s="10">
        <v>2</v>
      </c>
      <c r="N252" t="s">
        <v>58</v>
      </c>
    </row>
    <row r="253" spans="1:14">
      <c r="A253" t="s">
        <v>565</v>
      </c>
      <c r="B253" t="s">
        <v>566</v>
      </c>
      <c r="C253" t="s">
        <v>16</v>
      </c>
      <c r="D253" t="s">
        <v>88</v>
      </c>
      <c r="E253" t="s">
        <v>64</v>
      </c>
      <c r="F253" t="s">
        <v>92</v>
      </c>
      <c r="G253" t="s">
        <v>57</v>
      </c>
      <c r="H253" t="s">
        <v>46</v>
      </c>
      <c r="I253" s="8">
        <v>44426</v>
      </c>
      <c r="J253" s="8">
        <v>45552</v>
      </c>
      <c r="K253" t="s">
        <v>36</v>
      </c>
      <c r="L253" s="9">
        <v>26300</v>
      </c>
      <c r="M253" s="10">
        <v>2</v>
      </c>
      <c r="N253" t="s">
        <v>23</v>
      </c>
    </row>
    <row r="254" spans="1:14">
      <c r="A254" t="s">
        <v>567</v>
      </c>
      <c r="B254" t="s">
        <v>568</v>
      </c>
      <c r="C254" t="s">
        <v>31</v>
      </c>
      <c r="D254" t="s">
        <v>74</v>
      </c>
      <c r="E254" t="s">
        <v>18</v>
      </c>
      <c r="F254" t="s">
        <v>89</v>
      </c>
      <c r="G254" t="s">
        <v>40</v>
      </c>
      <c r="H254" t="s">
        <v>21</v>
      </c>
      <c r="I254" s="8">
        <v>44416</v>
      </c>
      <c r="J254" s="8"/>
      <c r="K254" t="s">
        <v>22</v>
      </c>
      <c r="L254" s="9">
        <v>66700</v>
      </c>
      <c r="M254" s="10">
        <v>3</v>
      </c>
      <c r="N254" t="s">
        <v>23</v>
      </c>
    </row>
    <row r="255" spans="1:14">
      <c r="A255" t="s">
        <v>569</v>
      </c>
      <c r="B255" t="s">
        <v>570</v>
      </c>
      <c r="C255" t="s">
        <v>16</v>
      </c>
      <c r="D255" t="s">
        <v>17</v>
      </c>
      <c r="E255" t="s">
        <v>64</v>
      </c>
      <c r="F255" t="s">
        <v>65</v>
      </c>
      <c r="G255" t="s">
        <v>57</v>
      </c>
      <c r="H255" t="s">
        <v>21</v>
      </c>
      <c r="I255" s="8">
        <v>43757</v>
      </c>
      <c r="J255" s="8">
        <v>44472</v>
      </c>
      <c r="K255" t="s">
        <v>36</v>
      </c>
      <c r="L255" s="9">
        <v>27000</v>
      </c>
      <c r="M255" s="10">
        <v>4</v>
      </c>
      <c r="N255" t="s">
        <v>23</v>
      </c>
    </row>
    <row r="256" spans="1:14">
      <c r="A256" t="s">
        <v>571</v>
      </c>
      <c r="B256" t="s">
        <v>572</v>
      </c>
      <c r="C256" t="s">
        <v>31</v>
      </c>
      <c r="D256" t="s">
        <v>114</v>
      </c>
      <c r="E256" t="s">
        <v>18</v>
      </c>
      <c r="F256" t="s">
        <v>89</v>
      </c>
      <c r="G256" t="s">
        <v>20</v>
      </c>
      <c r="H256" t="s">
        <v>21</v>
      </c>
      <c r="I256" s="8">
        <v>45641</v>
      </c>
      <c r="J256" s="8"/>
      <c r="K256" t="s">
        <v>22</v>
      </c>
      <c r="L256" s="9">
        <v>75600</v>
      </c>
      <c r="M256" s="10">
        <v>3</v>
      </c>
      <c r="N256" t="s">
        <v>23</v>
      </c>
    </row>
    <row r="257" spans="1:14">
      <c r="A257" t="s">
        <v>573</v>
      </c>
      <c r="B257" t="s">
        <v>574</v>
      </c>
      <c r="C257" t="s">
        <v>31</v>
      </c>
      <c r="D257" t="s">
        <v>114</v>
      </c>
      <c r="E257" t="s">
        <v>18</v>
      </c>
      <c r="F257" t="s">
        <v>19</v>
      </c>
      <c r="G257" t="s">
        <v>40</v>
      </c>
      <c r="H257" t="s">
        <v>21</v>
      </c>
      <c r="I257" s="8">
        <v>44169</v>
      </c>
      <c r="J257" s="8"/>
      <c r="K257" t="s">
        <v>22</v>
      </c>
      <c r="L257" s="9">
        <v>64900</v>
      </c>
      <c r="M257" s="10">
        <v>3</v>
      </c>
      <c r="N257" t="s">
        <v>23</v>
      </c>
    </row>
    <row r="258" spans="1:14">
      <c r="A258" t="s">
        <v>575</v>
      </c>
      <c r="B258" t="s">
        <v>576</v>
      </c>
      <c r="C258" t="s">
        <v>16</v>
      </c>
      <c r="D258" t="s">
        <v>88</v>
      </c>
      <c r="E258" t="s">
        <v>52</v>
      </c>
      <c r="F258" t="s">
        <v>53</v>
      </c>
      <c r="G258" t="s">
        <v>40</v>
      </c>
      <c r="H258" t="s">
        <v>21</v>
      </c>
      <c r="I258" s="8">
        <v>43445</v>
      </c>
      <c r="J258" s="8">
        <v>43574</v>
      </c>
      <c r="K258" t="s">
        <v>36</v>
      </c>
      <c r="L258" s="9">
        <v>32700</v>
      </c>
      <c r="M258" s="10">
        <v>2</v>
      </c>
      <c r="N258" t="s">
        <v>23</v>
      </c>
    </row>
    <row r="259" spans="1:14">
      <c r="A259" t="s">
        <v>577</v>
      </c>
      <c r="B259" t="s">
        <v>578</v>
      </c>
      <c r="C259" t="s">
        <v>16</v>
      </c>
      <c r="D259" t="s">
        <v>74</v>
      </c>
      <c r="E259" t="s">
        <v>70</v>
      </c>
      <c r="F259" t="s">
        <v>105</v>
      </c>
      <c r="G259" t="s">
        <v>40</v>
      </c>
      <c r="H259" t="s">
        <v>21</v>
      </c>
      <c r="I259" s="8">
        <v>44110</v>
      </c>
      <c r="J259" s="8"/>
      <c r="K259" t="s">
        <v>22</v>
      </c>
      <c r="L259" s="9">
        <v>45700</v>
      </c>
      <c r="M259" s="10">
        <v>5</v>
      </c>
      <c r="N259" t="s">
        <v>23</v>
      </c>
    </row>
    <row r="260" spans="1:14">
      <c r="A260" t="s">
        <v>579</v>
      </c>
      <c r="B260" t="s">
        <v>580</v>
      </c>
      <c r="C260" t="s">
        <v>16</v>
      </c>
      <c r="D260" t="s">
        <v>43</v>
      </c>
      <c r="E260" t="s">
        <v>18</v>
      </c>
      <c r="F260" t="s">
        <v>39</v>
      </c>
      <c r="G260" t="s">
        <v>57</v>
      </c>
      <c r="H260" t="s">
        <v>46</v>
      </c>
      <c r="I260" s="8">
        <v>44849</v>
      </c>
      <c r="J260" s="8"/>
      <c r="K260" t="s">
        <v>22</v>
      </c>
      <c r="L260" s="9">
        <v>60800</v>
      </c>
      <c r="M260" s="10">
        <v>3</v>
      </c>
      <c r="N260" t="s">
        <v>23</v>
      </c>
    </row>
    <row r="261" spans="1:14">
      <c r="A261" t="s">
        <v>581</v>
      </c>
      <c r="B261" t="s">
        <v>582</v>
      </c>
      <c r="C261" t="s">
        <v>16</v>
      </c>
      <c r="D261" t="s">
        <v>49</v>
      </c>
      <c r="E261" t="s">
        <v>70</v>
      </c>
      <c r="F261" t="s">
        <v>102</v>
      </c>
      <c r="G261" t="s">
        <v>40</v>
      </c>
      <c r="H261" t="s">
        <v>46</v>
      </c>
      <c r="I261" s="8">
        <v>45168</v>
      </c>
      <c r="J261" s="8">
        <v>45662</v>
      </c>
      <c r="K261" t="s">
        <v>36</v>
      </c>
      <c r="L261" s="9">
        <v>19000</v>
      </c>
      <c r="M261" s="10">
        <v>3</v>
      </c>
      <c r="N261" t="s">
        <v>58</v>
      </c>
    </row>
    <row r="262" spans="1:14">
      <c r="A262" t="s">
        <v>583</v>
      </c>
      <c r="B262" t="s">
        <v>584</v>
      </c>
      <c r="C262" t="s">
        <v>16</v>
      </c>
      <c r="D262" t="s">
        <v>114</v>
      </c>
      <c r="E262" t="s">
        <v>33</v>
      </c>
      <c r="F262" t="s">
        <v>97</v>
      </c>
      <c r="G262" t="s">
        <v>35</v>
      </c>
      <c r="H262" t="s">
        <v>21</v>
      </c>
      <c r="I262" s="8">
        <v>43918</v>
      </c>
      <c r="J262" s="8"/>
      <c r="K262" t="s">
        <v>22</v>
      </c>
      <c r="L262" s="9">
        <v>38800</v>
      </c>
      <c r="M262" s="10">
        <v>2</v>
      </c>
      <c r="N262" t="s">
        <v>58</v>
      </c>
    </row>
    <row r="263" spans="1:14">
      <c r="A263" t="s">
        <v>585</v>
      </c>
      <c r="B263" t="s">
        <v>586</v>
      </c>
      <c r="C263" t="s">
        <v>31</v>
      </c>
      <c r="D263" t="s">
        <v>74</v>
      </c>
      <c r="E263" t="s">
        <v>64</v>
      </c>
      <c r="F263" t="s">
        <v>119</v>
      </c>
      <c r="G263" t="s">
        <v>57</v>
      </c>
      <c r="H263" t="s">
        <v>198</v>
      </c>
      <c r="I263" s="8">
        <v>44561</v>
      </c>
      <c r="J263" s="8"/>
      <c r="K263" t="s">
        <v>22</v>
      </c>
      <c r="L263" s="9">
        <v>43600</v>
      </c>
      <c r="M263" s="10">
        <v>4</v>
      </c>
      <c r="N263" t="s">
        <v>23</v>
      </c>
    </row>
    <row r="264" spans="1:14">
      <c r="A264" t="s">
        <v>587</v>
      </c>
      <c r="B264" t="s">
        <v>588</v>
      </c>
      <c r="C264" t="s">
        <v>16</v>
      </c>
      <c r="D264" t="s">
        <v>26</v>
      </c>
      <c r="E264" t="s">
        <v>18</v>
      </c>
      <c r="F264" t="s">
        <v>39</v>
      </c>
      <c r="G264" t="s">
        <v>35</v>
      </c>
      <c r="H264" t="s">
        <v>21</v>
      </c>
      <c r="I264" s="8">
        <v>45183</v>
      </c>
      <c r="J264" s="8"/>
      <c r="K264" t="s">
        <v>22</v>
      </c>
      <c r="L264" s="9">
        <v>56300</v>
      </c>
      <c r="M264" s="10">
        <v>4</v>
      </c>
      <c r="N264" t="s">
        <v>58</v>
      </c>
    </row>
    <row r="265" spans="1:14">
      <c r="A265" t="s">
        <v>589</v>
      </c>
      <c r="B265" t="s">
        <v>590</v>
      </c>
      <c r="C265" t="s">
        <v>31</v>
      </c>
      <c r="D265" t="s">
        <v>43</v>
      </c>
      <c r="E265" t="s">
        <v>18</v>
      </c>
      <c r="F265" t="s">
        <v>39</v>
      </c>
      <c r="G265" t="s">
        <v>57</v>
      </c>
      <c r="H265" t="s">
        <v>21</v>
      </c>
      <c r="I265" s="8">
        <v>44708</v>
      </c>
      <c r="J265" s="8"/>
      <c r="K265" t="s">
        <v>22</v>
      </c>
      <c r="L265" s="9">
        <v>61400</v>
      </c>
      <c r="M265" s="10">
        <v>4</v>
      </c>
      <c r="N265" t="s">
        <v>23</v>
      </c>
    </row>
    <row r="266" spans="1:14">
      <c r="A266" t="s">
        <v>591</v>
      </c>
      <c r="B266" t="s">
        <v>592</v>
      </c>
      <c r="C266" t="s">
        <v>31</v>
      </c>
      <c r="D266" t="s">
        <v>114</v>
      </c>
      <c r="E266" t="s">
        <v>64</v>
      </c>
      <c r="F266" t="s">
        <v>119</v>
      </c>
      <c r="G266" t="s">
        <v>57</v>
      </c>
      <c r="H266" t="s">
        <v>21</v>
      </c>
      <c r="I266" s="8">
        <v>43178</v>
      </c>
      <c r="J266" s="8"/>
      <c r="K266" t="s">
        <v>22</v>
      </c>
      <c r="L266" s="9">
        <v>30000</v>
      </c>
      <c r="M266" s="10">
        <v>4</v>
      </c>
      <c r="N266" t="s">
        <v>23</v>
      </c>
    </row>
    <row r="267" spans="1:14">
      <c r="A267" t="s">
        <v>593</v>
      </c>
      <c r="B267" t="s">
        <v>594</v>
      </c>
      <c r="C267" t="s">
        <v>31</v>
      </c>
      <c r="D267" t="s">
        <v>74</v>
      </c>
      <c r="E267" t="s">
        <v>27</v>
      </c>
      <c r="F267" t="s">
        <v>75</v>
      </c>
      <c r="G267" t="s">
        <v>20</v>
      </c>
      <c r="H267" t="s">
        <v>21</v>
      </c>
      <c r="I267" s="8">
        <v>45675</v>
      </c>
      <c r="J267" s="8"/>
      <c r="K267" t="s">
        <v>22</v>
      </c>
      <c r="L267" s="9">
        <v>55900</v>
      </c>
      <c r="M267" s="10">
        <v>4</v>
      </c>
      <c r="N267" t="s">
        <v>23</v>
      </c>
    </row>
    <row r="268" spans="1:14">
      <c r="A268" t="s">
        <v>595</v>
      </c>
      <c r="B268" t="s">
        <v>596</v>
      </c>
      <c r="C268" t="s">
        <v>16</v>
      </c>
      <c r="D268" t="s">
        <v>17</v>
      </c>
      <c r="E268" t="s">
        <v>70</v>
      </c>
      <c r="F268" t="s">
        <v>71</v>
      </c>
      <c r="G268" t="s">
        <v>20</v>
      </c>
      <c r="H268" t="s">
        <v>21</v>
      </c>
      <c r="I268" s="8">
        <v>43905</v>
      </c>
      <c r="J268" s="8"/>
      <c r="K268" t="s">
        <v>22</v>
      </c>
      <c r="L268" s="9">
        <v>18000</v>
      </c>
      <c r="M268" s="10">
        <v>2</v>
      </c>
      <c r="N268" t="s">
        <v>58</v>
      </c>
    </row>
    <row r="269" spans="1:14">
      <c r="A269" t="s">
        <v>597</v>
      </c>
      <c r="B269" t="s">
        <v>598</v>
      </c>
      <c r="C269" t="s">
        <v>16</v>
      </c>
      <c r="D269" t="s">
        <v>26</v>
      </c>
      <c r="E269" t="s">
        <v>64</v>
      </c>
      <c r="F269" t="s">
        <v>119</v>
      </c>
      <c r="G269" t="s">
        <v>35</v>
      </c>
      <c r="H269" t="s">
        <v>21</v>
      </c>
      <c r="I269" s="8">
        <v>43800</v>
      </c>
      <c r="J269" s="8"/>
      <c r="K269" t="s">
        <v>22</v>
      </c>
      <c r="L269" s="9">
        <v>48600</v>
      </c>
      <c r="M269" s="10">
        <v>4</v>
      </c>
      <c r="N269" t="s">
        <v>58</v>
      </c>
    </row>
    <row r="270" spans="1:14">
      <c r="A270" t="s">
        <v>599</v>
      </c>
      <c r="B270" t="s">
        <v>600</v>
      </c>
      <c r="C270" t="s">
        <v>31</v>
      </c>
      <c r="D270" t="s">
        <v>43</v>
      </c>
      <c r="E270" t="s">
        <v>64</v>
      </c>
      <c r="F270" t="s">
        <v>119</v>
      </c>
      <c r="G270" t="s">
        <v>40</v>
      </c>
      <c r="H270" t="s">
        <v>46</v>
      </c>
      <c r="I270" s="8">
        <v>45330</v>
      </c>
      <c r="J270" s="8"/>
      <c r="K270" t="s">
        <v>22</v>
      </c>
      <c r="L270" s="9">
        <v>29300</v>
      </c>
      <c r="M270" s="10">
        <v>4</v>
      </c>
      <c r="N270" t="s">
        <v>23</v>
      </c>
    </row>
    <row r="271" spans="1:14">
      <c r="A271" t="s">
        <v>601</v>
      </c>
      <c r="B271" t="s">
        <v>602</v>
      </c>
      <c r="C271" t="s">
        <v>16</v>
      </c>
      <c r="D271" t="s">
        <v>88</v>
      </c>
      <c r="E271" t="s">
        <v>64</v>
      </c>
      <c r="F271" t="s">
        <v>92</v>
      </c>
      <c r="G271" t="s">
        <v>57</v>
      </c>
      <c r="H271" t="s">
        <v>46</v>
      </c>
      <c r="I271" s="8">
        <v>45141</v>
      </c>
      <c r="J271" s="8"/>
      <c r="K271" t="s">
        <v>22</v>
      </c>
      <c r="L271" s="9">
        <v>38000</v>
      </c>
      <c r="M271" s="10">
        <v>4</v>
      </c>
      <c r="N271" t="s">
        <v>23</v>
      </c>
    </row>
    <row r="272" spans="1:14">
      <c r="A272" t="s">
        <v>603</v>
      </c>
      <c r="B272" t="s">
        <v>604</v>
      </c>
      <c r="C272" t="s">
        <v>31</v>
      </c>
      <c r="D272" t="s">
        <v>32</v>
      </c>
      <c r="E272" t="s">
        <v>52</v>
      </c>
      <c r="F272" t="s">
        <v>126</v>
      </c>
      <c r="G272" t="s">
        <v>35</v>
      </c>
      <c r="H272" t="s">
        <v>21</v>
      </c>
      <c r="I272" s="8">
        <v>45841</v>
      </c>
      <c r="J272" s="8"/>
      <c r="K272" t="s">
        <v>22</v>
      </c>
      <c r="L272" s="9">
        <v>45200</v>
      </c>
      <c r="M272" s="10">
        <v>4</v>
      </c>
      <c r="N272" t="s">
        <v>58</v>
      </c>
    </row>
    <row r="273" spans="1:14">
      <c r="A273" t="s">
        <v>605</v>
      </c>
      <c r="B273" t="s">
        <v>606</v>
      </c>
      <c r="C273" t="s">
        <v>31</v>
      </c>
      <c r="D273" t="s">
        <v>74</v>
      </c>
      <c r="E273" t="s">
        <v>70</v>
      </c>
      <c r="F273" t="s">
        <v>102</v>
      </c>
      <c r="G273" t="s">
        <v>57</v>
      </c>
      <c r="H273" t="s">
        <v>46</v>
      </c>
      <c r="I273" s="8">
        <v>44209</v>
      </c>
      <c r="J273" s="8"/>
      <c r="K273" t="s">
        <v>22</v>
      </c>
      <c r="L273" s="9">
        <v>27100</v>
      </c>
      <c r="M273" s="10">
        <v>5</v>
      </c>
      <c r="N273" t="s">
        <v>58</v>
      </c>
    </row>
    <row r="274" spans="1:14">
      <c r="A274" t="s">
        <v>607</v>
      </c>
      <c r="B274" t="s">
        <v>608</v>
      </c>
      <c r="C274" t="s">
        <v>31</v>
      </c>
      <c r="D274" t="s">
        <v>74</v>
      </c>
      <c r="E274" t="s">
        <v>44</v>
      </c>
      <c r="F274" t="s">
        <v>56</v>
      </c>
      <c r="G274" t="s">
        <v>57</v>
      </c>
      <c r="H274" t="s">
        <v>46</v>
      </c>
      <c r="I274" s="8">
        <v>45512</v>
      </c>
      <c r="J274" s="8"/>
      <c r="K274" t="s">
        <v>22</v>
      </c>
      <c r="L274" s="9">
        <v>18000</v>
      </c>
      <c r="M274" s="10">
        <v>4</v>
      </c>
      <c r="N274" t="s">
        <v>23</v>
      </c>
    </row>
    <row r="275" spans="1:14">
      <c r="A275" t="s">
        <v>609</v>
      </c>
      <c r="B275" t="s">
        <v>610</v>
      </c>
      <c r="C275" t="s">
        <v>16</v>
      </c>
      <c r="D275" t="s">
        <v>43</v>
      </c>
      <c r="E275" t="s">
        <v>70</v>
      </c>
      <c r="F275" t="s">
        <v>71</v>
      </c>
      <c r="G275" t="s">
        <v>57</v>
      </c>
      <c r="H275" t="s">
        <v>46</v>
      </c>
      <c r="I275" s="8">
        <v>44671</v>
      </c>
      <c r="J275" s="8"/>
      <c r="K275" t="s">
        <v>22</v>
      </c>
      <c r="L275" s="9">
        <v>30700</v>
      </c>
      <c r="M275" s="10">
        <v>3</v>
      </c>
      <c r="N275" t="s">
        <v>58</v>
      </c>
    </row>
    <row r="276" spans="1:14">
      <c r="A276" t="s">
        <v>611</v>
      </c>
      <c r="B276" t="s">
        <v>612</v>
      </c>
      <c r="C276" t="s">
        <v>31</v>
      </c>
      <c r="D276" t="s">
        <v>114</v>
      </c>
      <c r="E276" t="s">
        <v>18</v>
      </c>
      <c r="F276" t="s">
        <v>39</v>
      </c>
      <c r="G276" t="s">
        <v>20</v>
      </c>
      <c r="H276" t="s">
        <v>46</v>
      </c>
      <c r="I276" s="8">
        <v>43114</v>
      </c>
      <c r="J276" s="8"/>
      <c r="K276" t="s">
        <v>22</v>
      </c>
      <c r="L276" s="9">
        <v>61200</v>
      </c>
      <c r="M276" s="10">
        <v>4</v>
      </c>
      <c r="N276" t="s">
        <v>23</v>
      </c>
    </row>
    <row r="277" spans="1:14">
      <c r="A277" t="s">
        <v>613</v>
      </c>
      <c r="B277" t="s">
        <v>614</v>
      </c>
      <c r="C277" t="s">
        <v>31</v>
      </c>
      <c r="D277" t="s">
        <v>74</v>
      </c>
      <c r="E277" t="s">
        <v>33</v>
      </c>
      <c r="F277" t="s">
        <v>34</v>
      </c>
      <c r="G277" t="s">
        <v>40</v>
      </c>
      <c r="H277" t="s">
        <v>21</v>
      </c>
      <c r="I277" s="8">
        <v>44037</v>
      </c>
      <c r="J277" s="8"/>
      <c r="K277" t="s">
        <v>22</v>
      </c>
      <c r="L277" s="9">
        <v>50500</v>
      </c>
      <c r="M277" s="10">
        <v>3</v>
      </c>
      <c r="N277" t="s">
        <v>58</v>
      </c>
    </row>
    <row r="278" spans="1:14">
      <c r="A278" t="s">
        <v>615</v>
      </c>
      <c r="B278" t="s">
        <v>616</v>
      </c>
      <c r="C278" t="s">
        <v>16</v>
      </c>
      <c r="D278" t="s">
        <v>26</v>
      </c>
      <c r="E278" t="s">
        <v>18</v>
      </c>
      <c r="F278" t="s">
        <v>39</v>
      </c>
      <c r="G278" t="s">
        <v>35</v>
      </c>
      <c r="H278" t="s">
        <v>21</v>
      </c>
      <c r="I278" s="8">
        <v>45198</v>
      </c>
      <c r="J278" s="8"/>
      <c r="K278" t="s">
        <v>22</v>
      </c>
      <c r="L278" s="9">
        <v>54000</v>
      </c>
      <c r="M278" s="10">
        <v>4</v>
      </c>
      <c r="N278" t="s">
        <v>23</v>
      </c>
    </row>
    <row r="279" spans="1:14">
      <c r="A279" t="s">
        <v>617</v>
      </c>
      <c r="B279" t="s">
        <v>618</v>
      </c>
      <c r="C279" t="s">
        <v>16</v>
      </c>
      <c r="D279" t="s">
        <v>17</v>
      </c>
      <c r="E279" t="s">
        <v>64</v>
      </c>
      <c r="F279" t="s">
        <v>92</v>
      </c>
      <c r="G279" t="s">
        <v>40</v>
      </c>
      <c r="H279" t="s">
        <v>21</v>
      </c>
      <c r="I279" s="8">
        <v>45713</v>
      </c>
      <c r="J279" s="8"/>
      <c r="K279" t="s">
        <v>22</v>
      </c>
      <c r="L279" s="9">
        <v>26100</v>
      </c>
      <c r="M279" s="10">
        <v>4</v>
      </c>
      <c r="N279" t="s">
        <v>23</v>
      </c>
    </row>
    <row r="280" spans="1:14">
      <c r="A280" t="s">
        <v>619</v>
      </c>
      <c r="B280" t="s">
        <v>620</v>
      </c>
      <c r="C280" t="s">
        <v>16</v>
      </c>
      <c r="D280" t="s">
        <v>49</v>
      </c>
      <c r="E280" t="s">
        <v>27</v>
      </c>
      <c r="F280" t="s">
        <v>28</v>
      </c>
      <c r="G280" t="s">
        <v>20</v>
      </c>
      <c r="H280" t="s">
        <v>21</v>
      </c>
      <c r="I280" s="8">
        <v>44942</v>
      </c>
      <c r="J280" s="8"/>
      <c r="K280" t="s">
        <v>22</v>
      </c>
      <c r="L280" s="9">
        <v>40200</v>
      </c>
      <c r="M280" s="10">
        <v>5</v>
      </c>
      <c r="N280" t="s">
        <v>23</v>
      </c>
    </row>
    <row r="281" spans="1:14">
      <c r="A281" t="s">
        <v>621</v>
      </c>
      <c r="B281" t="s">
        <v>622</v>
      </c>
      <c r="C281" t="s">
        <v>31</v>
      </c>
      <c r="D281" t="s">
        <v>49</v>
      </c>
      <c r="E281" t="s">
        <v>52</v>
      </c>
      <c r="F281" t="s">
        <v>179</v>
      </c>
      <c r="G281" t="s">
        <v>20</v>
      </c>
      <c r="H281" t="s">
        <v>21</v>
      </c>
      <c r="I281" s="8">
        <v>43545</v>
      </c>
      <c r="J281" s="8">
        <v>45160</v>
      </c>
      <c r="K281" t="s">
        <v>36</v>
      </c>
      <c r="L281" s="9">
        <v>47600</v>
      </c>
      <c r="M281" s="10">
        <v>3</v>
      </c>
      <c r="N281" t="s">
        <v>23</v>
      </c>
    </row>
    <row r="282" spans="1:14">
      <c r="A282" t="s">
        <v>623</v>
      </c>
      <c r="B282" t="s">
        <v>624</v>
      </c>
      <c r="C282" t="s">
        <v>16</v>
      </c>
      <c r="D282" t="s">
        <v>49</v>
      </c>
      <c r="E282" t="s">
        <v>33</v>
      </c>
      <c r="F282" t="s">
        <v>34</v>
      </c>
      <c r="G282" t="s">
        <v>57</v>
      </c>
      <c r="H282" t="s">
        <v>21</v>
      </c>
      <c r="I282" s="8">
        <v>44678</v>
      </c>
      <c r="J282" s="8">
        <v>44983</v>
      </c>
      <c r="K282" t="s">
        <v>36</v>
      </c>
      <c r="L282" s="9">
        <v>43100</v>
      </c>
      <c r="M282" s="10">
        <v>4</v>
      </c>
      <c r="N282" t="s">
        <v>58</v>
      </c>
    </row>
    <row r="283" spans="1:14">
      <c r="A283" t="s">
        <v>625</v>
      </c>
      <c r="B283" t="s">
        <v>626</v>
      </c>
      <c r="C283" t="s">
        <v>16</v>
      </c>
      <c r="D283" t="s">
        <v>26</v>
      </c>
      <c r="E283" t="s">
        <v>52</v>
      </c>
      <c r="F283" t="s">
        <v>126</v>
      </c>
      <c r="G283" t="s">
        <v>20</v>
      </c>
      <c r="H283" t="s">
        <v>46</v>
      </c>
      <c r="I283" s="8">
        <v>44723</v>
      </c>
      <c r="J283" s="8"/>
      <c r="K283" t="s">
        <v>22</v>
      </c>
      <c r="L283" s="9">
        <v>30900</v>
      </c>
      <c r="M283" s="10">
        <v>3</v>
      </c>
      <c r="N283" t="s">
        <v>23</v>
      </c>
    </row>
    <row r="284" spans="1:14">
      <c r="A284" t="s">
        <v>627</v>
      </c>
      <c r="B284" t="s">
        <v>628</v>
      </c>
      <c r="C284" t="s">
        <v>16</v>
      </c>
      <c r="D284" t="s">
        <v>74</v>
      </c>
      <c r="E284" t="s">
        <v>44</v>
      </c>
      <c r="F284" t="s">
        <v>56</v>
      </c>
      <c r="G284" t="s">
        <v>35</v>
      </c>
      <c r="H284" t="s">
        <v>21</v>
      </c>
      <c r="I284" s="8">
        <v>45508</v>
      </c>
      <c r="J284" s="8"/>
      <c r="K284" t="s">
        <v>22</v>
      </c>
      <c r="L284" s="9">
        <v>29000</v>
      </c>
      <c r="M284" s="10">
        <v>5</v>
      </c>
      <c r="N284" t="s">
        <v>23</v>
      </c>
    </row>
    <row r="285" spans="1:14">
      <c r="A285" t="s">
        <v>629</v>
      </c>
      <c r="B285" t="s">
        <v>630</v>
      </c>
      <c r="C285" t="s">
        <v>31</v>
      </c>
      <c r="D285" t="s">
        <v>32</v>
      </c>
      <c r="E285" t="s">
        <v>64</v>
      </c>
      <c r="F285" t="s">
        <v>119</v>
      </c>
      <c r="G285" t="s">
        <v>35</v>
      </c>
      <c r="H285" t="s">
        <v>21</v>
      </c>
      <c r="I285" s="8">
        <v>43267</v>
      </c>
      <c r="J285" s="8"/>
      <c r="K285" t="s">
        <v>22</v>
      </c>
      <c r="L285" s="9">
        <v>36200</v>
      </c>
      <c r="M285" s="10">
        <v>5</v>
      </c>
      <c r="N285" t="s">
        <v>58</v>
      </c>
    </row>
    <row r="286" spans="1:14">
      <c r="A286" t="s">
        <v>631</v>
      </c>
      <c r="B286" t="s">
        <v>632</v>
      </c>
      <c r="C286" t="s">
        <v>16</v>
      </c>
      <c r="D286" t="s">
        <v>32</v>
      </c>
      <c r="E286" t="s">
        <v>33</v>
      </c>
      <c r="F286" t="s">
        <v>97</v>
      </c>
      <c r="G286" t="s">
        <v>57</v>
      </c>
      <c r="H286" t="s">
        <v>21</v>
      </c>
      <c r="I286" s="8">
        <v>45191</v>
      </c>
      <c r="J286" s="8"/>
      <c r="K286" t="s">
        <v>22</v>
      </c>
      <c r="L286" s="9">
        <v>42500</v>
      </c>
      <c r="M286" s="10">
        <v>1</v>
      </c>
      <c r="N286" t="s">
        <v>23</v>
      </c>
    </row>
    <row r="287" spans="1:14">
      <c r="A287" t="s">
        <v>633</v>
      </c>
      <c r="B287" t="s">
        <v>634</v>
      </c>
      <c r="C287" t="s">
        <v>31</v>
      </c>
      <c r="D287" t="s">
        <v>114</v>
      </c>
      <c r="E287" t="s">
        <v>18</v>
      </c>
      <c r="F287" t="s">
        <v>19</v>
      </c>
      <c r="G287" t="s">
        <v>20</v>
      </c>
      <c r="H287" t="s">
        <v>21</v>
      </c>
      <c r="I287" s="8">
        <v>44757</v>
      </c>
      <c r="J287" s="8"/>
      <c r="K287" t="s">
        <v>22</v>
      </c>
      <c r="L287" s="9">
        <v>59400</v>
      </c>
      <c r="M287" s="10">
        <v>4</v>
      </c>
      <c r="N287" t="s">
        <v>58</v>
      </c>
    </row>
    <row r="288" spans="1:14">
      <c r="A288" t="s">
        <v>635</v>
      </c>
      <c r="B288" t="s">
        <v>636</v>
      </c>
      <c r="C288" t="s">
        <v>31</v>
      </c>
      <c r="D288" t="s">
        <v>26</v>
      </c>
      <c r="E288" t="s">
        <v>70</v>
      </c>
      <c r="F288" t="s">
        <v>102</v>
      </c>
      <c r="G288" t="s">
        <v>35</v>
      </c>
      <c r="H288" t="s">
        <v>21</v>
      </c>
      <c r="I288" s="8">
        <v>43121</v>
      </c>
      <c r="J288" s="8">
        <v>44261</v>
      </c>
      <c r="K288" t="s">
        <v>36</v>
      </c>
      <c r="L288" s="9">
        <v>32100</v>
      </c>
      <c r="M288" s="10">
        <v>5</v>
      </c>
      <c r="N288" t="s">
        <v>23</v>
      </c>
    </row>
    <row r="289" spans="1:14">
      <c r="A289" t="s">
        <v>637</v>
      </c>
      <c r="B289" t="s">
        <v>638</v>
      </c>
      <c r="C289" t="s">
        <v>31</v>
      </c>
      <c r="D289" t="s">
        <v>88</v>
      </c>
      <c r="E289" t="s">
        <v>64</v>
      </c>
      <c r="F289" t="s">
        <v>65</v>
      </c>
      <c r="G289" t="s">
        <v>35</v>
      </c>
      <c r="H289" t="s">
        <v>21</v>
      </c>
      <c r="I289" s="8">
        <v>45712</v>
      </c>
      <c r="J289" s="8"/>
      <c r="K289" t="s">
        <v>22</v>
      </c>
      <c r="L289" s="9">
        <v>28500</v>
      </c>
      <c r="M289" s="10">
        <v>4</v>
      </c>
      <c r="N289" t="s">
        <v>23</v>
      </c>
    </row>
    <row r="290" spans="1:14">
      <c r="A290" t="s">
        <v>639</v>
      </c>
      <c r="B290" t="s">
        <v>640</v>
      </c>
      <c r="C290" t="s">
        <v>16</v>
      </c>
      <c r="D290" t="s">
        <v>17</v>
      </c>
      <c r="E290" t="s">
        <v>52</v>
      </c>
      <c r="F290" t="s">
        <v>126</v>
      </c>
      <c r="G290" t="s">
        <v>40</v>
      </c>
      <c r="H290" t="s">
        <v>21</v>
      </c>
      <c r="I290" s="8">
        <v>45112</v>
      </c>
      <c r="J290" s="8"/>
      <c r="K290" t="s">
        <v>22</v>
      </c>
      <c r="L290" s="9">
        <v>30300</v>
      </c>
      <c r="M290" s="10">
        <v>2</v>
      </c>
      <c r="N290" t="s">
        <v>23</v>
      </c>
    </row>
    <row r="291" spans="1:14">
      <c r="A291" t="s">
        <v>641</v>
      </c>
      <c r="B291" t="s">
        <v>642</v>
      </c>
      <c r="C291" t="s">
        <v>16</v>
      </c>
      <c r="D291" t="s">
        <v>17</v>
      </c>
      <c r="E291" t="s">
        <v>64</v>
      </c>
      <c r="F291" t="s">
        <v>92</v>
      </c>
      <c r="G291" t="s">
        <v>57</v>
      </c>
      <c r="H291" t="s">
        <v>21</v>
      </c>
      <c r="I291" s="8">
        <v>43409</v>
      </c>
      <c r="J291" s="8"/>
      <c r="K291" t="s">
        <v>22</v>
      </c>
      <c r="L291" s="9">
        <v>29200</v>
      </c>
      <c r="M291" s="10">
        <v>4</v>
      </c>
      <c r="N291" t="s">
        <v>23</v>
      </c>
    </row>
    <row r="292" spans="1:14">
      <c r="A292" t="s">
        <v>643</v>
      </c>
      <c r="B292" t="s">
        <v>644</v>
      </c>
      <c r="C292" t="s">
        <v>16</v>
      </c>
      <c r="D292" t="s">
        <v>32</v>
      </c>
      <c r="E292" t="s">
        <v>44</v>
      </c>
      <c r="F292" t="s">
        <v>45</v>
      </c>
      <c r="G292" t="s">
        <v>20</v>
      </c>
      <c r="H292" t="s">
        <v>21</v>
      </c>
      <c r="I292" s="8">
        <v>43487</v>
      </c>
      <c r="J292" s="8"/>
      <c r="K292" t="s">
        <v>22</v>
      </c>
      <c r="L292" s="9">
        <v>41600</v>
      </c>
      <c r="M292" s="10">
        <v>4</v>
      </c>
      <c r="N292" t="s">
        <v>58</v>
      </c>
    </row>
    <row r="293" spans="1:14">
      <c r="A293" t="s">
        <v>645</v>
      </c>
      <c r="B293" t="s">
        <v>646</v>
      </c>
      <c r="C293" t="s">
        <v>31</v>
      </c>
      <c r="D293" t="s">
        <v>114</v>
      </c>
      <c r="E293" t="s">
        <v>18</v>
      </c>
      <c r="F293" t="s">
        <v>19</v>
      </c>
      <c r="G293" t="s">
        <v>20</v>
      </c>
      <c r="H293" t="s">
        <v>46</v>
      </c>
      <c r="I293" s="8">
        <v>44908</v>
      </c>
      <c r="J293" s="8"/>
      <c r="K293" t="s">
        <v>22</v>
      </c>
      <c r="L293" s="9">
        <v>56000</v>
      </c>
      <c r="M293" s="10">
        <v>4</v>
      </c>
      <c r="N293" t="s">
        <v>23</v>
      </c>
    </row>
    <row r="294" spans="1:14">
      <c r="A294" t="s">
        <v>647</v>
      </c>
      <c r="B294" t="s">
        <v>648</v>
      </c>
      <c r="C294" t="s">
        <v>31</v>
      </c>
      <c r="D294" t="s">
        <v>114</v>
      </c>
      <c r="E294" t="s">
        <v>18</v>
      </c>
      <c r="F294" t="s">
        <v>39</v>
      </c>
      <c r="G294" t="s">
        <v>40</v>
      </c>
      <c r="H294" t="s">
        <v>21</v>
      </c>
      <c r="I294" s="8">
        <v>44172</v>
      </c>
      <c r="J294" s="8">
        <v>45605</v>
      </c>
      <c r="K294" t="s">
        <v>36</v>
      </c>
      <c r="L294" s="9">
        <v>66900</v>
      </c>
      <c r="M294" s="10">
        <v>5</v>
      </c>
      <c r="N294" t="s">
        <v>23</v>
      </c>
    </row>
    <row r="295" spans="1:14">
      <c r="A295" t="s">
        <v>649</v>
      </c>
      <c r="B295" t="s">
        <v>650</v>
      </c>
      <c r="C295" t="s">
        <v>16</v>
      </c>
      <c r="D295" t="s">
        <v>114</v>
      </c>
      <c r="E295" t="s">
        <v>52</v>
      </c>
      <c r="F295" t="s">
        <v>179</v>
      </c>
      <c r="G295" t="s">
        <v>57</v>
      </c>
      <c r="H295" t="s">
        <v>21</v>
      </c>
      <c r="I295" s="8">
        <v>43537</v>
      </c>
      <c r="J295" s="8">
        <v>44477</v>
      </c>
      <c r="K295" t="s">
        <v>36</v>
      </c>
      <c r="L295" s="9">
        <v>48600</v>
      </c>
      <c r="M295" s="10">
        <v>5</v>
      </c>
      <c r="N295" t="s">
        <v>23</v>
      </c>
    </row>
    <row r="296" spans="1:14">
      <c r="A296" t="s">
        <v>651</v>
      </c>
      <c r="B296" t="s">
        <v>652</v>
      </c>
      <c r="C296" t="s">
        <v>31</v>
      </c>
      <c r="D296" t="s">
        <v>114</v>
      </c>
      <c r="E296" t="s">
        <v>70</v>
      </c>
      <c r="F296" t="s">
        <v>105</v>
      </c>
      <c r="G296" t="s">
        <v>35</v>
      </c>
      <c r="H296" t="s">
        <v>21</v>
      </c>
      <c r="I296" s="8">
        <v>43550</v>
      </c>
      <c r="J296" s="8"/>
      <c r="K296" t="s">
        <v>22</v>
      </c>
      <c r="L296" s="9">
        <v>26600</v>
      </c>
      <c r="M296" s="10">
        <v>3</v>
      </c>
      <c r="N296" t="s">
        <v>23</v>
      </c>
    </row>
    <row r="297" spans="1:14">
      <c r="A297" t="s">
        <v>653</v>
      </c>
      <c r="B297" t="s">
        <v>654</v>
      </c>
      <c r="C297" t="s">
        <v>31</v>
      </c>
      <c r="D297" t="s">
        <v>74</v>
      </c>
      <c r="E297" t="s">
        <v>70</v>
      </c>
      <c r="F297" t="s">
        <v>102</v>
      </c>
      <c r="G297" t="s">
        <v>20</v>
      </c>
      <c r="H297" t="s">
        <v>21</v>
      </c>
      <c r="I297" s="8">
        <v>44304</v>
      </c>
      <c r="J297" s="8">
        <v>45226</v>
      </c>
      <c r="K297" t="s">
        <v>36</v>
      </c>
      <c r="L297" s="9">
        <v>38200</v>
      </c>
      <c r="M297" s="10">
        <v>5</v>
      </c>
      <c r="N297" t="s">
        <v>23</v>
      </c>
    </row>
    <row r="298" spans="1:14">
      <c r="A298" t="s">
        <v>655</v>
      </c>
      <c r="B298" t="s">
        <v>656</v>
      </c>
      <c r="C298" t="s">
        <v>31</v>
      </c>
      <c r="D298" t="s">
        <v>26</v>
      </c>
      <c r="E298" t="s">
        <v>64</v>
      </c>
      <c r="F298" t="s">
        <v>119</v>
      </c>
      <c r="G298" t="s">
        <v>35</v>
      </c>
      <c r="H298" t="s">
        <v>46</v>
      </c>
      <c r="I298" s="8">
        <v>43700</v>
      </c>
      <c r="J298" s="8"/>
      <c r="K298" t="s">
        <v>22</v>
      </c>
      <c r="L298" s="9">
        <v>38300</v>
      </c>
      <c r="M298" s="10">
        <v>4</v>
      </c>
      <c r="N298" t="s">
        <v>23</v>
      </c>
    </row>
    <row r="299" spans="1:14">
      <c r="A299" t="s">
        <v>657</v>
      </c>
      <c r="B299" t="s">
        <v>658</v>
      </c>
      <c r="C299" t="s">
        <v>31</v>
      </c>
      <c r="D299" t="s">
        <v>114</v>
      </c>
      <c r="E299" t="s">
        <v>70</v>
      </c>
      <c r="F299" t="s">
        <v>102</v>
      </c>
      <c r="G299" t="s">
        <v>35</v>
      </c>
      <c r="H299" t="s">
        <v>21</v>
      </c>
      <c r="I299" s="8">
        <v>43806</v>
      </c>
      <c r="J299" s="8"/>
      <c r="K299" t="s">
        <v>22</v>
      </c>
      <c r="L299" s="9">
        <v>37600</v>
      </c>
      <c r="M299" s="10">
        <v>3</v>
      </c>
      <c r="N299" t="s">
        <v>23</v>
      </c>
    </row>
    <row r="300" spans="1:14">
      <c r="A300" t="s">
        <v>659</v>
      </c>
      <c r="B300" t="s">
        <v>660</v>
      </c>
      <c r="C300" t="s">
        <v>31</v>
      </c>
      <c r="D300" t="s">
        <v>88</v>
      </c>
      <c r="E300" t="s">
        <v>52</v>
      </c>
      <c r="F300" t="s">
        <v>179</v>
      </c>
      <c r="G300" t="s">
        <v>57</v>
      </c>
      <c r="H300" t="s">
        <v>21</v>
      </c>
      <c r="I300" s="8">
        <v>44974</v>
      </c>
      <c r="J300" s="8">
        <v>45969</v>
      </c>
      <c r="K300" t="s">
        <v>36</v>
      </c>
      <c r="L300" s="9">
        <v>50200</v>
      </c>
      <c r="M300" s="10">
        <v>4</v>
      </c>
      <c r="N300" t="s">
        <v>23</v>
      </c>
    </row>
    <row r="301" spans="1:14">
      <c r="A301" t="s">
        <v>661</v>
      </c>
      <c r="B301" t="s">
        <v>662</v>
      </c>
      <c r="C301" t="s">
        <v>16</v>
      </c>
      <c r="D301" t="s">
        <v>49</v>
      </c>
      <c r="E301" t="s">
        <v>33</v>
      </c>
      <c r="F301" t="s">
        <v>97</v>
      </c>
      <c r="G301" t="s">
        <v>40</v>
      </c>
      <c r="H301" t="s">
        <v>21</v>
      </c>
      <c r="I301" s="8">
        <v>43347</v>
      </c>
      <c r="J301" s="8"/>
      <c r="K301" t="s">
        <v>22</v>
      </c>
      <c r="L301" s="9">
        <v>43700</v>
      </c>
      <c r="M301" s="10">
        <v>5</v>
      </c>
      <c r="N301" t="s">
        <v>23</v>
      </c>
    </row>
    <row r="302" spans="1:14">
      <c r="A302" t="s">
        <v>663</v>
      </c>
      <c r="B302" t="s">
        <v>664</v>
      </c>
      <c r="C302" t="s">
        <v>31</v>
      </c>
      <c r="D302" t="s">
        <v>49</v>
      </c>
      <c r="E302" t="s">
        <v>18</v>
      </c>
      <c r="F302" t="s">
        <v>89</v>
      </c>
      <c r="G302" t="s">
        <v>35</v>
      </c>
      <c r="H302" t="s">
        <v>21</v>
      </c>
      <c r="I302" s="8">
        <v>43403</v>
      </c>
      <c r="J302" s="8"/>
      <c r="K302" t="s">
        <v>22</v>
      </c>
      <c r="L302" s="9">
        <v>53400</v>
      </c>
      <c r="M302" s="10">
        <v>4</v>
      </c>
      <c r="N302" t="s">
        <v>23</v>
      </c>
    </row>
    <row r="303" spans="1:14">
      <c r="A303" t="s">
        <v>665</v>
      </c>
      <c r="B303" t="s">
        <v>666</v>
      </c>
      <c r="C303" t="s">
        <v>31</v>
      </c>
      <c r="D303" t="s">
        <v>49</v>
      </c>
      <c r="E303" t="s">
        <v>70</v>
      </c>
      <c r="F303" t="s">
        <v>105</v>
      </c>
      <c r="G303" t="s">
        <v>57</v>
      </c>
      <c r="H303" t="s">
        <v>21</v>
      </c>
      <c r="I303" s="8">
        <v>44085</v>
      </c>
      <c r="J303" s="8"/>
      <c r="K303" t="s">
        <v>22</v>
      </c>
      <c r="L303" s="9">
        <v>39300</v>
      </c>
      <c r="M303" s="10">
        <v>4</v>
      </c>
      <c r="N303" t="s">
        <v>23</v>
      </c>
    </row>
    <row r="304" spans="1:14">
      <c r="A304" t="s">
        <v>667</v>
      </c>
      <c r="B304" t="s">
        <v>668</v>
      </c>
      <c r="C304" t="s">
        <v>16</v>
      </c>
      <c r="D304" t="s">
        <v>32</v>
      </c>
      <c r="E304" t="s">
        <v>70</v>
      </c>
      <c r="F304" t="s">
        <v>105</v>
      </c>
      <c r="G304" t="s">
        <v>40</v>
      </c>
      <c r="H304" t="s">
        <v>21</v>
      </c>
      <c r="I304" s="8">
        <v>43904</v>
      </c>
      <c r="J304" s="8"/>
      <c r="K304" t="s">
        <v>22</v>
      </c>
      <c r="L304" s="9">
        <v>37600</v>
      </c>
      <c r="M304" s="10">
        <v>4</v>
      </c>
      <c r="N304" t="s">
        <v>23</v>
      </c>
    </row>
    <row r="305" spans="1:14">
      <c r="A305" t="s">
        <v>669</v>
      </c>
      <c r="B305" t="s">
        <v>670</v>
      </c>
      <c r="C305" t="s">
        <v>31</v>
      </c>
      <c r="D305" t="s">
        <v>17</v>
      </c>
      <c r="E305" t="s">
        <v>18</v>
      </c>
      <c r="F305" t="s">
        <v>89</v>
      </c>
      <c r="G305" t="s">
        <v>40</v>
      </c>
      <c r="H305" t="s">
        <v>46</v>
      </c>
      <c r="I305" s="8">
        <v>43877</v>
      </c>
      <c r="J305" s="8"/>
      <c r="K305" t="s">
        <v>22</v>
      </c>
      <c r="L305" s="9">
        <v>65700</v>
      </c>
      <c r="M305" s="10">
        <v>3</v>
      </c>
      <c r="N305" t="s">
        <v>58</v>
      </c>
    </row>
    <row r="306" spans="1:14">
      <c r="A306" t="s">
        <v>671</v>
      </c>
      <c r="B306" t="s">
        <v>672</v>
      </c>
      <c r="C306" t="s">
        <v>31</v>
      </c>
      <c r="D306" t="s">
        <v>32</v>
      </c>
      <c r="E306" t="s">
        <v>70</v>
      </c>
      <c r="F306" t="s">
        <v>71</v>
      </c>
      <c r="G306" t="s">
        <v>40</v>
      </c>
      <c r="H306" t="s">
        <v>21</v>
      </c>
      <c r="I306" s="8">
        <v>44713</v>
      </c>
      <c r="J306" s="8">
        <v>45697</v>
      </c>
      <c r="K306" t="s">
        <v>36</v>
      </c>
      <c r="L306" s="9">
        <v>38200</v>
      </c>
      <c r="M306" s="10">
        <v>3</v>
      </c>
      <c r="N306" t="s">
        <v>23</v>
      </c>
    </row>
    <row r="307" spans="1:14">
      <c r="A307" t="s">
        <v>673</v>
      </c>
      <c r="B307" t="s">
        <v>674</v>
      </c>
      <c r="C307" t="s">
        <v>16</v>
      </c>
      <c r="D307" t="s">
        <v>88</v>
      </c>
      <c r="E307" t="s">
        <v>64</v>
      </c>
      <c r="F307" t="s">
        <v>65</v>
      </c>
      <c r="G307" t="s">
        <v>20</v>
      </c>
      <c r="H307" t="s">
        <v>21</v>
      </c>
      <c r="I307" s="8">
        <v>45836</v>
      </c>
      <c r="J307" s="8"/>
      <c r="K307" t="s">
        <v>22</v>
      </c>
      <c r="L307" s="9">
        <v>44800</v>
      </c>
      <c r="M307" s="10">
        <v>5</v>
      </c>
      <c r="N307" t="s">
        <v>23</v>
      </c>
    </row>
    <row r="308" spans="1:14">
      <c r="A308" t="s">
        <v>675</v>
      </c>
      <c r="B308" t="s">
        <v>676</v>
      </c>
      <c r="C308" t="s">
        <v>31</v>
      </c>
      <c r="D308" t="s">
        <v>43</v>
      </c>
      <c r="E308" t="s">
        <v>70</v>
      </c>
      <c r="F308" t="s">
        <v>102</v>
      </c>
      <c r="G308" t="s">
        <v>20</v>
      </c>
      <c r="H308" t="s">
        <v>21</v>
      </c>
      <c r="I308" s="8">
        <v>45629</v>
      </c>
      <c r="J308" s="8"/>
      <c r="K308" t="s">
        <v>22</v>
      </c>
      <c r="L308" s="9">
        <v>36000</v>
      </c>
      <c r="M308" s="10">
        <v>5</v>
      </c>
      <c r="N308" t="s">
        <v>23</v>
      </c>
    </row>
    <row r="309" spans="1:14">
      <c r="A309" t="s">
        <v>677</v>
      </c>
      <c r="B309" t="s">
        <v>678</v>
      </c>
      <c r="C309" t="s">
        <v>31</v>
      </c>
      <c r="D309" t="s">
        <v>26</v>
      </c>
      <c r="E309" t="s">
        <v>52</v>
      </c>
      <c r="F309" t="s">
        <v>53</v>
      </c>
      <c r="G309" t="s">
        <v>20</v>
      </c>
      <c r="H309" t="s">
        <v>21</v>
      </c>
      <c r="I309" s="8">
        <v>43758</v>
      </c>
      <c r="J309" s="8">
        <v>45002</v>
      </c>
      <c r="K309" t="s">
        <v>36</v>
      </c>
      <c r="L309" s="9">
        <v>30000</v>
      </c>
      <c r="M309" s="10">
        <v>4</v>
      </c>
      <c r="N309" t="s">
        <v>58</v>
      </c>
    </row>
    <row r="310" spans="1:14">
      <c r="A310" t="s">
        <v>679</v>
      </c>
      <c r="B310" t="s">
        <v>680</v>
      </c>
      <c r="C310" t="s">
        <v>31</v>
      </c>
      <c r="D310" t="s">
        <v>17</v>
      </c>
      <c r="E310" t="s">
        <v>52</v>
      </c>
      <c r="F310" t="s">
        <v>179</v>
      </c>
      <c r="G310" t="s">
        <v>20</v>
      </c>
      <c r="H310" t="s">
        <v>21</v>
      </c>
      <c r="I310" s="8">
        <v>44109</v>
      </c>
      <c r="J310" s="8">
        <v>46009</v>
      </c>
      <c r="K310" t="s">
        <v>36</v>
      </c>
      <c r="L310" s="9">
        <v>43000</v>
      </c>
      <c r="M310" s="10">
        <v>3</v>
      </c>
      <c r="N310" t="s">
        <v>58</v>
      </c>
    </row>
    <row r="311" spans="1:14">
      <c r="A311" t="s">
        <v>681</v>
      </c>
      <c r="B311" t="s">
        <v>682</v>
      </c>
      <c r="C311" t="s">
        <v>31</v>
      </c>
      <c r="D311" t="s">
        <v>32</v>
      </c>
      <c r="E311" t="s">
        <v>44</v>
      </c>
      <c r="F311" t="s">
        <v>45</v>
      </c>
      <c r="G311" t="s">
        <v>57</v>
      </c>
      <c r="H311" t="s">
        <v>21</v>
      </c>
      <c r="I311" s="8">
        <v>44348</v>
      </c>
      <c r="J311" s="8"/>
      <c r="K311" t="s">
        <v>22</v>
      </c>
      <c r="L311" s="9">
        <v>36600</v>
      </c>
      <c r="M311" s="10">
        <v>4</v>
      </c>
      <c r="N311" t="s">
        <v>23</v>
      </c>
    </row>
    <row r="312" spans="1:14">
      <c r="A312" t="s">
        <v>683</v>
      </c>
      <c r="B312" t="s">
        <v>684</v>
      </c>
      <c r="C312" t="s">
        <v>31</v>
      </c>
      <c r="D312" t="s">
        <v>32</v>
      </c>
      <c r="E312" t="s">
        <v>18</v>
      </c>
      <c r="F312" t="s">
        <v>89</v>
      </c>
      <c r="G312" t="s">
        <v>57</v>
      </c>
      <c r="H312" t="s">
        <v>21</v>
      </c>
      <c r="I312" s="8">
        <v>44347</v>
      </c>
      <c r="J312" s="8"/>
      <c r="K312" t="s">
        <v>22</v>
      </c>
      <c r="L312" s="9">
        <v>64300</v>
      </c>
      <c r="M312" s="10">
        <v>4</v>
      </c>
      <c r="N312" t="s">
        <v>58</v>
      </c>
    </row>
    <row r="313" spans="1:14">
      <c r="A313" t="s">
        <v>685</v>
      </c>
      <c r="B313" t="s">
        <v>686</v>
      </c>
      <c r="C313" t="s">
        <v>31</v>
      </c>
      <c r="D313" t="s">
        <v>17</v>
      </c>
      <c r="E313" t="s">
        <v>70</v>
      </c>
      <c r="F313" t="s">
        <v>105</v>
      </c>
      <c r="G313" t="s">
        <v>40</v>
      </c>
      <c r="H313" t="s">
        <v>21</v>
      </c>
      <c r="I313" s="8">
        <v>44878</v>
      </c>
      <c r="J313" s="8"/>
      <c r="K313" t="s">
        <v>22</v>
      </c>
      <c r="L313" s="9">
        <v>38200</v>
      </c>
      <c r="M313" s="10">
        <v>4</v>
      </c>
      <c r="N313" t="s">
        <v>23</v>
      </c>
    </row>
    <row r="314" spans="1:14">
      <c r="A314" t="s">
        <v>687</v>
      </c>
      <c r="B314" t="s">
        <v>688</v>
      </c>
      <c r="C314" t="s">
        <v>16</v>
      </c>
      <c r="D314" t="s">
        <v>88</v>
      </c>
      <c r="E314" t="s">
        <v>44</v>
      </c>
      <c r="F314" t="s">
        <v>133</v>
      </c>
      <c r="G314" t="s">
        <v>20</v>
      </c>
      <c r="H314" t="s">
        <v>198</v>
      </c>
      <c r="I314" s="8">
        <v>45492</v>
      </c>
      <c r="J314" s="8"/>
      <c r="K314" t="s">
        <v>22</v>
      </c>
      <c r="L314" s="9">
        <v>25200</v>
      </c>
      <c r="M314" s="10">
        <v>4</v>
      </c>
      <c r="N314" t="s">
        <v>23</v>
      </c>
    </row>
    <row r="315" spans="1:14">
      <c r="A315" t="s">
        <v>689</v>
      </c>
      <c r="B315" t="s">
        <v>690</v>
      </c>
      <c r="C315" t="s">
        <v>31</v>
      </c>
      <c r="D315" t="s">
        <v>74</v>
      </c>
      <c r="E315" t="s">
        <v>27</v>
      </c>
      <c r="F315" t="s">
        <v>28</v>
      </c>
      <c r="G315" t="s">
        <v>35</v>
      </c>
      <c r="H315" t="s">
        <v>21</v>
      </c>
      <c r="I315" s="8">
        <v>43787</v>
      </c>
      <c r="J315" s="8"/>
      <c r="K315" t="s">
        <v>22</v>
      </c>
      <c r="L315" s="9">
        <v>57700</v>
      </c>
      <c r="M315" s="10">
        <v>4</v>
      </c>
      <c r="N315" t="s">
        <v>23</v>
      </c>
    </row>
    <row r="316" spans="1:14">
      <c r="A316" t="s">
        <v>691</v>
      </c>
      <c r="B316" t="s">
        <v>692</v>
      </c>
      <c r="C316" t="s">
        <v>31</v>
      </c>
      <c r="D316" t="s">
        <v>43</v>
      </c>
      <c r="E316" t="s">
        <v>52</v>
      </c>
      <c r="F316" t="s">
        <v>179</v>
      </c>
      <c r="G316" t="s">
        <v>57</v>
      </c>
      <c r="H316" t="s">
        <v>21</v>
      </c>
      <c r="I316" s="8">
        <v>44015</v>
      </c>
      <c r="J316" s="8"/>
      <c r="K316" t="s">
        <v>22</v>
      </c>
      <c r="L316" s="9">
        <v>35100</v>
      </c>
      <c r="M316" s="10">
        <v>3</v>
      </c>
      <c r="N316" t="s">
        <v>23</v>
      </c>
    </row>
    <row r="317" spans="1:14">
      <c r="A317" t="s">
        <v>693</v>
      </c>
      <c r="B317" t="s">
        <v>694</v>
      </c>
      <c r="C317" t="s">
        <v>16</v>
      </c>
      <c r="D317" t="s">
        <v>17</v>
      </c>
      <c r="E317" t="s">
        <v>33</v>
      </c>
      <c r="F317" t="s">
        <v>148</v>
      </c>
      <c r="G317" t="s">
        <v>35</v>
      </c>
      <c r="H317" t="s">
        <v>21</v>
      </c>
      <c r="I317" s="8">
        <v>45329</v>
      </c>
      <c r="J317" s="8"/>
      <c r="K317" t="s">
        <v>22</v>
      </c>
      <c r="L317" s="9">
        <v>44900</v>
      </c>
      <c r="M317" s="10">
        <v>3</v>
      </c>
      <c r="N317" t="s">
        <v>23</v>
      </c>
    </row>
    <row r="318" spans="1:14">
      <c r="A318" t="s">
        <v>695</v>
      </c>
      <c r="B318" t="s">
        <v>696</v>
      </c>
      <c r="C318" t="s">
        <v>31</v>
      </c>
      <c r="D318" t="s">
        <v>43</v>
      </c>
      <c r="E318" t="s">
        <v>70</v>
      </c>
      <c r="F318" t="s">
        <v>71</v>
      </c>
      <c r="G318" t="s">
        <v>20</v>
      </c>
      <c r="H318" t="s">
        <v>21</v>
      </c>
      <c r="I318" s="8">
        <v>44684</v>
      </c>
      <c r="J318" s="8"/>
      <c r="K318" t="s">
        <v>22</v>
      </c>
      <c r="L318" s="9">
        <v>24000</v>
      </c>
      <c r="M318" s="10">
        <v>5</v>
      </c>
      <c r="N318" t="s">
        <v>23</v>
      </c>
    </row>
    <row r="319" spans="1:14">
      <c r="A319" t="s">
        <v>697</v>
      </c>
      <c r="B319" t="s">
        <v>698</v>
      </c>
      <c r="C319" t="s">
        <v>31</v>
      </c>
      <c r="D319" t="s">
        <v>114</v>
      </c>
      <c r="E319" t="s">
        <v>64</v>
      </c>
      <c r="F319" t="s">
        <v>65</v>
      </c>
      <c r="G319" t="s">
        <v>40</v>
      </c>
      <c r="H319" t="s">
        <v>21</v>
      </c>
      <c r="I319" s="8">
        <v>44843</v>
      </c>
      <c r="J319" s="8"/>
      <c r="K319" t="s">
        <v>22</v>
      </c>
      <c r="L319" s="9">
        <v>26700</v>
      </c>
      <c r="M319" s="10">
        <v>5</v>
      </c>
      <c r="N319" t="s">
        <v>23</v>
      </c>
    </row>
    <row r="320" spans="1:14">
      <c r="A320" t="s">
        <v>699</v>
      </c>
      <c r="B320" t="s">
        <v>700</v>
      </c>
      <c r="C320" t="s">
        <v>31</v>
      </c>
      <c r="D320" t="s">
        <v>32</v>
      </c>
      <c r="E320" t="s">
        <v>18</v>
      </c>
      <c r="F320" t="s">
        <v>89</v>
      </c>
      <c r="G320" t="s">
        <v>57</v>
      </c>
      <c r="H320" t="s">
        <v>21</v>
      </c>
      <c r="I320" s="8">
        <v>44991</v>
      </c>
      <c r="J320" s="8">
        <v>45313</v>
      </c>
      <c r="K320" t="s">
        <v>36</v>
      </c>
      <c r="L320" s="9">
        <v>61100</v>
      </c>
      <c r="M320" s="10">
        <v>2</v>
      </c>
      <c r="N320" t="s">
        <v>58</v>
      </c>
    </row>
    <row r="321" spans="1:14">
      <c r="A321" t="s">
        <v>701</v>
      </c>
      <c r="B321" t="s">
        <v>702</v>
      </c>
      <c r="C321" t="s">
        <v>16</v>
      </c>
      <c r="D321" t="s">
        <v>49</v>
      </c>
      <c r="E321" t="s">
        <v>44</v>
      </c>
      <c r="F321" t="s">
        <v>56</v>
      </c>
      <c r="G321" t="s">
        <v>35</v>
      </c>
      <c r="H321" t="s">
        <v>21</v>
      </c>
      <c r="I321" s="8">
        <v>43322</v>
      </c>
      <c r="J321" s="8">
        <v>44626</v>
      </c>
      <c r="K321" t="s">
        <v>36</v>
      </c>
      <c r="L321" s="9">
        <v>37600</v>
      </c>
      <c r="M321" s="10">
        <v>3</v>
      </c>
      <c r="N321" t="s">
        <v>58</v>
      </c>
    </row>
    <row r="322" spans="1:14">
      <c r="A322" t="s">
        <v>703</v>
      </c>
      <c r="B322" t="s">
        <v>704</v>
      </c>
      <c r="C322" t="s">
        <v>16</v>
      </c>
      <c r="D322" t="s">
        <v>32</v>
      </c>
      <c r="E322" t="s">
        <v>44</v>
      </c>
      <c r="F322" t="s">
        <v>56</v>
      </c>
      <c r="G322" t="s">
        <v>20</v>
      </c>
      <c r="H322" t="s">
        <v>21</v>
      </c>
      <c r="I322" s="8">
        <v>43859</v>
      </c>
      <c r="J322" s="8"/>
      <c r="K322" t="s">
        <v>22</v>
      </c>
      <c r="L322" s="9">
        <v>31500</v>
      </c>
      <c r="M322" s="10">
        <v>5</v>
      </c>
      <c r="N322" t="s">
        <v>58</v>
      </c>
    </row>
    <row r="323" spans="1:14">
      <c r="A323" t="s">
        <v>705</v>
      </c>
      <c r="B323" t="s">
        <v>706</v>
      </c>
      <c r="C323" t="s">
        <v>31</v>
      </c>
      <c r="D323" t="s">
        <v>74</v>
      </c>
      <c r="E323" t="s">
        <v>18</v>
      </c>
      <c r="F323" t="s">
        <v>19</v>
      </c>
      <c r="G323" t="s">
        <v>20</v>
      </c>
      <c r="H323" t="s">
        <v>46</v>
      </c>
      <c r="I323" s="8">
        <v>45478</v>
      </c>
      <c r="J323" s="8"/>
      <c r="K323" t="s">
        <v>22</v>
      </c>
      <c r="L323" s="9">
        <v>48400</v>
      </c>
      <c r="M323" s="10">
        <v>4</v>
      </c>
      <c r="N323" t="s">
        <v>23</v>
      </c>
    </row>
    <row r="324" spans="1:14">
      <c r="A324" t="s">
        <v>707</v>
      </c>
      <c r="B324" t="s">
        <v>708</v>
      </c>
      <c r="C324" t="s">
        <v>16</v>
      </c>
      <c r="D324" t="s">
        <v>74</v>
      </c>
      <c r="E324" t="s">
        <v>64</v>
      </c>
      <c r="F324" t="s">
        <v>92</v>
      </c>
      <c r="G324" t="s">
        <v>40</v>
      </c>
      <c r="H324" t="s">
        <v>21</v>
      </c>
      <c r="I324" s="8">
        <v>45803</v>
      </c>
      <c r="J324" s="8"/>
      <c r="K324" t="s">
        <v>22</v>
      </c>
      <c r="L324" s="9">
        <v>28600</v>
      </c>
      <c r="M324" s="10">
        <v>4</v>
      </c>
      <c r="N324" t="s">
        <v>23</v>
      </c>
    </row>
    <row r="325" spans="1:14">
      <c r="A325" t="s">
        <v>709</v>
      </c>
      <c r="B325" t="s">
        <v>710</v>
      </c>
      <c r="C325" t="s">
        <v>31</v>
      </c>
      <c r="D325" t="s">
        <v>26</v>
      </c>
      <c r="E325" t="s">
        <v>52</v>
      </c>
      <c r="F325" t="s">
        <v>126</v>
      </c>
      <c r="G325" t="s">
        <v>57</v>
      </c>
      <c r="H325" t="s">
        <v>21</v>
      </c>
      <c r="I325" s="8">
        <v>44053</v>
      </c>
      <c r="J325" s="8"/>
      <c r="K325" t="s">
        <v>22</v>
      </c>
      <c r="L325" s="9">
        <v>40600</v>
      </c>
      <c r="M325" s="10">
        <v>4</v>
      </c>
      <c r="N325" t="s">
        <v>23</v>
      </c>
    </row>
    <row r="326" spans="1:14">
      <c r="A326" t="s">
        <v>711</v>
      </c>
      <c r="B326" t="s">
        <v>712</v>
      </c>
      <c r="C326" t="s">
        <v>31</v>
      </c>
      <c r="D326" t="s">
        <v>88</v>
      </c>
      <c r="E326" t="s">
        <v>18</v>
      </c>
      <c r="F326" t="s">
        <v>19</v>
      </c>
      <c r="G326" t="s">
        <v>20</v>
      </c>
      <c r="H326" t="s">
        <v>21</v>
      </c>
      <c r="I326" s="8">
        <v>43414</v>
      </c>
      <c r="J326" s="8"/>
      <c r="K326" t="s">
        <v>22</v>
      </c>
      <c r="L326" s="9">
        <v>58200</v>
      </c>
      <c r="M326" s="10">
        <v>3</v>
      </c>
      <c r="N326" t="s">
        <v>23</v>
      </c>
    </row>
    <row r="327" spans="1:14">
      <c r="A327" t="s">
        <v>713</v>
      </c>
      <c r="B327" t="s">
        <v>714</v>
      </c>
      <c r="C327" t="s">
        <v>31</v>
      </c>
      <c r="D327" t="s">
        <v>88</v>
      </c>
      <c r="E327" t="s">
        <v>18</v>
      </c>
      <c r="F327" t="s">
        <v>89</v>
      </c>
      <c r="G327" t="s">
        <v>35</v>
      </c>
      <c r="H327" t="s">
        <v>21</v>
      </c>
      <c r="I327" s="8">
        <v>45884</v>
      </c>
      <c r="J327" s="8"/>
      <c r="K327" t="s">
        <v>22</v>
      </c>
      <c r="L327" s="9">
        <v>53900</v>
      </c>
      <c r="M327" s="10">
        <v>3</v>
      </c>
      <c r="N327" t="s">
        <v>23</v>
      </c>
    </row>
    <row r="328" spans="1:14">
      <c r="A328" t="s">
        <v>715</v>
      </c>
      <c r="B328" t="s">
        <v>716</v>
      </c>
      <c r="C328" t="s">
        <v>16</v>
      </c>
      <c r="D328" t="s">
        <v>88</v>
      </c>
      <c r="E328" t="s">
        <v>70</v>
      </c>
      <c r="F328" t="s">
        <v>71</v>
      </c>
      <c r="G328" t="s">
        <v>20</v>
      </c>
      <c r="H328" t="s">
        <v>21</v>
      </c>
      <c r="I328" s="8">
        <v>44343</v>
      </c>
      <c r="J328" s="8"/>
      <c r="K328" t="s">
        <v>22</v>
      </c>
      <c r="L328" s="9">
        <v>39600</v>
      </c>
      <c r="M328" s="10">
        <v>5</v>
      </c>
      <c r="N328" t="s">
        <v>23</v>
      </c>
    </row>
    <row r="329" spans="1:14">
      <c r="A329" t="s">
        <v>717</v>
      </c>
      <c r="B329" t="s">
        <v>718</v>
      </c>
      <c r="C329" t="s">
        <v>31</v>
      </c>
      <c r="D329" t="s">
        <v>88</v>
      </c>
      <c r="E329" t="s">
        <v>27</v>
      </c>
      <c r="F329" t="s">
        <v>61</v>
      </c>
      <c r="G329" t="s">
        <v>20</v>
      </c>
      <c r="H329" t="s">
        <v>46</v>
      </c>
      <c r="I329" s="8">
        <v>45280</v>
      </c>
      <c r="J329" s="8"/>
      <c r="K329" t="s">
        <v>22</v>
      </c>
      <c r="L329" s="9">
        <v>22600</v>
      </c>
      <c r="M329" s="10">
        <v>4</v>
      </c>
      <c r="N329" t="s">
        <v>23</v>
      </c>
    </row>
    <row r="330" spans="1:14">
      <c r="A330" t="s">
        <v>719</v>
      </c>
      <c r="B330" t="s">
        <v>720</v>
      </c>
      <c r="C330" t="s">
        <v>31</v>
      </c>
      <c r="D330" t="s">
        <v>88</v>
      </c>
      <c r="E330" t="s">
        <v>44</v>
      </c>
      <c r="F330" t="s">
        <v>45</v>
      </c>
      <c r="G330" t="s">
        <v>57</v>
      </c>
      <c r="H330" t="s">
        <v>21</v>
      </c>
      <c r="I330" s="8">
        <v>45552</v>
      </c>
      <c r="J330" s="8"/>
      <c r="K330" t="s">
        <v>22</v>
      </c>
      <c r="L330" s="9">
        <v>30600</v>
      </c>
      <c r="M330" s="10">
        <v>1</v>
      </c>
      <c r="N330" t="s">
        <v>23</v>
      </c>
    </row>
    <row r="331" spans="1:14">
      <c r="A331" t="s">
        <v>721</v>
      </c>
      <c r="B331" t="s">
        <v>722</v>
      </c>
      <c r="C331" t="s">
        <v>16</v>
      </c>
      <c r="D331" t="s">
        <v>32</v>
      </c>
      <c r="E331" t="s">
        <v>33</v>
      </c>
      <c r="F331" t="s">
        <v>34</v>
      </c>
      <c r="G331" t="s">
        <v>40</v>
      </c>
      <c r="H331" t="s">
        <v>21</v>
      </c>
      <c r="I331" s="8">
        <v>43746</v>
      </c>
      <c r="J331" s="8">
        <v>44355</v>
      </c>
      <c r="K331" t="s">
        <v>36</v>
      </c>
      <c r="L331" s="9">
        <v>33700</v>
      </c>
      <c r="M331" s="10">
        <v>3</v>
      </c>
      <c r="N331" t="s">
        <v>23</v>
      </c>
    </row>
    <row r="332" spans="1:14">
      <c r="A332" t="s">
        <v>723</v>
      </c>
      <c r="B332" t="s">
        <v>724</v>
      </c>
      <c r="C332" t="s">
        <v>31</v>
      </c>
      <c r="D332" t="s">
        <v>114</v>
      </c>
      <c r="E332" t="s">
        <v>64</v>
      </c>
      <c r="F332" t="s">
        <v>92</v>
      </c>
      <c r="G332" t="s">
        <v>40</v>
      </c>
      <c r="H332" t="s">
        <v>21</v>
      </c>
      <c r="I332" s="8">
        <v>45345</v>
      </c>
      <c r="J332" s="8">
        <v>45701</v>
      </c>
      <c r="K332" t="s">
        <v>36</v>
      </c>
      <c r="L332" s="9">
        <v>42200</v>
      </c>
      <c r="M332" s="10">
        <v>4</v>
      </c>
      <c r="N332" t="s">
        <v>23</v>
      </c>
    </row>
    <row r="333" spans="1:14">
      <c r="A333" t="s">
        <v>725</v>
      </c>
      <c r="B333" t="s">
        <v>726</v>
      </c>
      <c r="C333" t="s">
        <v>31</v>
      </c>
      <c r="D333" t="s">
        <v>17</v>
      </c>
      <c r="E333" t="s">
        <v>64</v>
      </c>
      <c r="F333" t="s">
        <v>92</v>
      </c>
      <c r="G333" t="s">
        <v>20</v>
      </c>
      <c r="H333" t="s">
        <v>21</v>
      </c>
      <c r="I333" s="8">
        <v>45540</v>
      </c>
      <c r="J333" s="8"/>
      <c r="K333" t="s">
        <v>22</v>
      </c>
      <c r="L333" s="9">
        <v>32900</v>
      </c>
      <c r="M333" s="10">
        <v>3</v>
      </c>
      <c r="N333" t="s">
        <v>23</v>
      </c>
    </row>
    <row r="334" spans="1:14">
      <c r="A334" t="s">
        <v>727</v>
      </c>
      <c r="B334" t="s">
        <v>728</v>
      </c>
      <c r="C334" t="s">
        <v>16</v>
      </c>
      <c r="D334" t="s">
        <v>32</v>
      </c>
      <c r="E334" t="s">
        <v>44</v>
      </c>
      <c r="F334" t="s">
        <v>56</v>
      </c>
      <c r="G334" t="s">
        <v>35</v>
      </c>
      <c r="H334" t="s">
        <v>21</v>
      </c>
      <c r="I334" s="8">
        <v>44070</v>
      </c>
      <c r="J334" s="8"/>
      <c r="K334" t="s">
        <v>22</v>
      </c>
      <c r="L334" s="9">
        <v>33000</v>
      </c>
      <c r="M334" s="10">
        <v>4</v>
      </c>
      <c r="N334" t="s">
        <v>58</v>
      </c>
    </row>
    <row r="335" spans="1:14">
      <c r="A335" t="s">
        <v>729</v>
      </c>
      <c r="B335" t="s">
        <v>730</v>
      </c>
      <c r="C335" t="s">
        <v>31</v>
      </c>
      <c r="D335" t="s">
        <v>43</v>
      </c>
      <c r="E335" t="s">
        <v>70</v>
      </c>
      <c r="F335" t="s">
        <v>71</v>
      </c>
      <c r="G335" t="s">
        <v>20</v>
      </c>
      <c r="H335" t="s">
        <v>21</v>
      </c>
      <c r="I335" s="8">
        <v>45161</v>
      </c>
      <c r="J335" s="8"/>
      <c r="K335" t="s">
        <v>22</v>
      </c>
      <c r="L335" s="9">
        <v>39700</v>
      </c>
      <c r="M335" s="10">
        <v>4</v>
      </c>
      <c r="N335" t="s">
        <v>23</v>
      </c>
    </row>
    <row r="336" spans="1:14">
      <c r="A336" t="s">
        <v>731</v>
      </c>
      <c r="B336" t="s">
        <v>732</v>
      </c>
      <c r="C336" t="s">
        <v>31</v>
      </c>
      <c r="D336" t="s">
        <v>49</v>
      </c>
      <c r="E336" t="s">
        <v>44</v>
      </c>
      <c r="F336" t="s">
        <v>45</v>
      </c>
      <c r="G336" t="s">
        <v>40</v>
      </c>
      <c r="H336" t="s">
        <v>21</v>
      </c>
      <c r="I336" s="8">
        <v>43691</v>
      </c>
      <c r="J336" s="8"/>
      <c r="K336" t="s">
        <v>22</v>
      </c>
      <c r="L336" s="9">
        <v>40600</v>
      </c>
      <c r="M336" s="10">
        <v>3</v>
      </c>
      <c r="N336" t="s">
        <v>23</v>
      </c>
    </row>
    <row r="337" spans="1:14">
      <c r="A337" t="s">
        <v>733</v>
      </c>
      <c r="B337" t="s">
        <v>734</v>
      </c>
      <c r="C337" t="s">
        <v>31</v>
      </c>
      <c r="D337" t="s">
        <v>17</v>
      </c>
      <c r="E337" t="s">
        <v>64</v>
      </c>
      <c r="F337" t="s">
        <v>119</v>
      </c>
      <c r="G337" t="s">
        <v>20</v>
      </c>
      <c r="H337" t="s">
        <v>21</v>
      </c>
      <c r="I337" s="8">
        <v>43525</v>
      </c>
      <c r="J337" s="8"/>
      <c r="K337" t="s">
        <v>22</v>
      </c>
      <c r="L337" s="9">
        <v>44000</v>
      </c>
      <c r="M337" s="10">
        <v>5</v>
      </c>
      <c r="N337" t="s">
        <v>23</v>
      </c>
    </row>
    <row r="338" spans="1:14">
      <c r="A338" t="s">
        <v>735</v>
      </c>
      <c r="B338" t="s">
        <v>736</v>
      </c>
      <c r="C338" t="s">
        <v>16</v>
      </c>
      <c r="D338" t="s">
        <v>88</v>
      </c>
      <c r="E338" t="s">
        <v>44</v>
      </c>
      <c r="F338" t="s">
        <v>45</v>
      </c>
      <c r="G338" t="s">
        <v>40</v>
      </c>
      <c r="H338" t="s">
        <v>21</v>
      </c>
      <c r="I338" s="8">
        <v>44749</v>
      </c>
      <c r="J338" s="8"/>
      <c r="K338" t="s">
        <v>22</v>
      </c>
      <c r="L338" s="9">
        <v>29700</v>
      </c>
      <c r="M338" s="10">
        <v>4</v>
      </c>
      <c r="N338" t="s">
        <v>23</v>
      </c>
    </row>
    <row r="339" spans="1:14">
      <c r="A339" t="s">
        <v>737</v>
      </c>
      <c r="B339" t="s">
        <v>738</v>
      </c>
      <c r="C339" t="s">
        <v>31</v>
      </c>
      <c r="D339" t="s">
        <v>74</v>
      </c>
      <c r="E339" t="s">
        <v>44</v>
      </c>
      <c r="F339" t="s">
        <v>56</v>
      </c>
      <c r="G339" t="s">
        <v>35</v>
      </c>
      <c r="H339" t="s">
        <v>21</v>
      </c>
      <c r="I339" s="8">
        <v>43104</v>
      </c>
      <c r="J339" s="8">
        <v>44175</v>
      </c>
      <c r="K339" t="s">
        <v>36</v>
      </c>
      <c r="L339" s="9">
        <v>25000</v>
      </c>
      <c r="M339" s="10">
        <v>4</v>
      </c>
      <c r="N339" t="s">
        <v>23</v>
      </c>
    </row>
    <row r="340" spans="1:14">
      <c r="A340" t="s">
        <v>739</v>
      </c>
      <c r="B340" t="s">
        <v>740</v>
      </c>
      <c r="C340" t="s">
        <v>16</v>
      </c>
      <c r="D340" t="s">
        <v>17</v>
      </c>
      <c r="E340" t="s">
        <v>64</v>
      </c>
      <c r="F340" t="s">
        <v>65</v>
      </c>
      <c r="G340" t="s">
        <v>40</v>
      </c>
      <c r="H340" t="s">
        <v>46</v>
      </c>
      <c r="I340" s="8">
        <v>44556</v>
      </c>
      <c r="J340" s="8">
        <v>45656</v>
      </c>
      <c r="K340" t="s">
        <v>36</v>
      </c>
      <c r="L340" s="9">
        <v>30000</v>
      </c>
      <c r="M340" s="10">
        <v>4</v>
      </c>
      <c r="N340" t="s">
        <v>58</v>
      </c>
    </row>
    <row r="341" spans="1:14">
      <c r="A341" t="s">
        <v>741</v>
      </c>
      <c r="B341" t="s">
        <v>742</v>
      </c>
      <c r="C341" t="s">
        <v>16</v>
      </c>
      <c r="D341" t="s">
        <v>43</v>
      </c>
      <c r="E341" t="s">
        <v>33</v>
      </c>
      <c r="F341" t="s">
        <v>34</v>
      </c>
      <c r="G341" t="s">
        <v>40</v>
      </c>
      <c r="H341" t="s">
        <v>21</v>
      </c>
      <c r="I341" s="8">
        <v>45214</v>
      </c>
      <c r="J341" s="8"/>
      <c r="K341" t="s">
        <v>22</v>
      </c>
      <c r="L341" s="9">
        <v>33600</v>
      </c>
      <c r="M341" s="10">
        <v>3</v>
      </c>
      <c r="N341" t="s">
        <v>23</v>
      </c>
    </row>
    <row r="342" spans="1:14">
      <c r="A342" t="s">
        <v>743</v>
      </c>
      <c r="B342" t="s">
        <v>744</v>
      </c>
      <c r="C342" t="s">
        <v>31</v>
      </c>
      <c r="D342" t="s">
        <v>49</v>
      </c>
      <c r="E342" t="s">
        <v>18</v>
      </c>
      <c r="F342" t="s">
        <v>39</v>
      </c>
      <c r="G342" t="s">
        <v>40</v>
      </c>
      <c r="H342" t="s">
        <v>21</v>
      </c>
      <c r="I342" s="8">
        <v>44821</v>
      </c>
      <c r="J342" s="8"/>
      <c r="K342" t="s">
        <v>22</v>
      </c>
      <c r="L342" s="9">
        <v>63200</v>
      </c>
      <c r="M342" s="10">
        <v>3</v>
      </c>
      <c r="N342" t="s">
        <v>58</v>
      </c>
    </row>
    <row r="343" spans="1:14">
      <c r="A343" t="s">
        <v>745</v>
      </c>
      <c r="B343" t="s">
        <v>746</v>
      </c>
      <c r="C343" t="s">
        <v>31</v>
      </c>
      <c r="D343" t="s">
        <v>49</v>
      </c>
      <c r="E343" t="s">
        <v>33</v>
      </c>
      <c r="F343" t="s">
        <v>97</v>
      </c>
      <c r="G343" t="s">
        <v>35</v>
      </c>
      <c r="H343" t="s">
        <v>21</v>
      </c>
      <c r="I343" s="8">
        <v>45295</v>
      </c>
      <c r="J343" s="8"/>
      <c r="K343" t="s">
        <v>22</v>
      </c>
      <c r="L343" s="9">
        <v>36100</v>
      </c>
      <c r="M343" s="10">
        <v>2</v>
      </c>
      <c r="N343" t="s">
        <v>23</v>
      </c>
    </row>
    <row r="344" spans="1:14">
      <c r="A344" t="s">
        <v>747</v>
      </c>
      <c r="B344" t="s">
        <v>748</v>
      </c>
      <c r="C344" t="s">
        <v>31</v>
      </c>
      <c r="D344" t="s">
        <v>17</v>
      </c>
      <c r="E344" t="s">
        <v>18</v>
      </c>
      <c r="F344" t="s">
        <v>19</v>
      </c>
      <c r="G344" t="s">
        <v>57</v>
      </c>
      <c r="H344" t="s">
        <v>21</v>
      </c>
      <c r="I344" s="8">
        <v>44593</v>
      </c>
      <c r="J344" s="8"/>
      <c r="K344" t="s">
        <v>22</v>
      </c>
      <c r="L344" s="9">
        <v>60200</v>
      </c>
      <c r="M344" s="10">
        <v>5</v>
      </c>
      <c r="N344" t="s">
        <v>58</v>
      </c>
    </row>
    <row r="345" spans="1:14">
      <c r="A345" t="s">
        <v>749</v>
      </c>
      <c r="B345" t="s">
        <v>750</v>
      </c>
      <c r="C345" t="s">
        <v>31</v>
      </c>
      <c r="D345" t="s">
        <v>114</v>
      </c>
      <c r="E345" t="s">
        <v>64</v>
      </c>
      <c r="F345" t="s">
        <v>92</v>
      </c>
      <c r="G345" t="s">
        <v>40</v>
      </c>
      <c r="H345" t="s">
        <v>21</v>
      </c>
      <c r="I345" s="8">
        <v>45698</v>
      </c>
      <c r="J345" s="8"/>
      <c r="K345" t="s">
        <v>22</v>
      </c>
      <c r="L345" s="9">
        <v>40600</v>
      </c>
      <c r="M345" s="10">
        <v>3</v>
      </c>
      <c r="N345" t="s">
        <v>23</v>
      </c>
    </row>
    <row r="346" spans="1:14">
      <c r="A346" t="s">
        <v>751</v>
      </c>
      <c r="B346" t="s">
        <v>752</v>
      </c>
      <c r="C346" t="s">
        <v>16</v>
      </c>
      <c r="D346" t="s">
        <v>88</v>
      </c>
      <c r="E346" t="s">
        <v>33</v>
      </c>
      <c r="F346" t="s">
        <v>97</v>
      </c>
      <c r="G346" t="s">
        <v>35</v>
      </c>
      <c r="H346" t="s">
        <v>21</v>
      </c>
      <c r="I346" s="8">
        <v>45434</v>
      </c>
      <c r="J346" s="8"/>
      <c r="K346" t="s">
        <v>22</v>
      </c>
      <c r="L346" s="9">
        <v>49300</v>
      </c>
      <c r="M346" s="10">
        <v>4</v>
      </c>
      <c r="N346" t="s">
        <v>23</v>
      </c>
    </row>
    <row r="347" spans="1:14">
      <c r="A347" t="s">
        <v>753</v>
      </c>
      <c r="B347" t="s">
        <v>754</v>
      </c>
      <c r="C347" t="s">
        <v>31</v>
      </c>
      <c r="D347" t="s">
        <v>74</v>
      </c>
      <c r="E347" t="s">
        <v>44</v>
      </c>
      <c r="F347" t="s">
        <v>45</v>
      </c>
      <c r="G347" t="s">
        <v>20</v>
      </c>
      <c r="H347" t="s">
        <v>21</v>
      </c>
      <c r="I347" s="8">
        <v>43398</v>
      </c>
      <c r="J347" s="8"/>
      <c r="K347" t="s">
        <v>22</v>
      </c>
      <c r="L347" s="9">
        <v>35600</v>
      </c>
      <c r="M347" s="10">
        <v>1</v>
      </c>
      <c r="N347" t="s">
        <v>23</v>
      </c>
    </row>
    <row r="348" spans="1:14">
      <c r="A348" t="s">
        <v>755</v>
      </c>
      <c r="B348" t="s">
        <v>756</v>
      </c>
      <c r="C348" t="s">
        <v>16</v>
      </c>
      <c r="D348" t="s">
        <v>88</v>
      </c>
      <c r="E348" t="s">
        <v>44</v>
      </c>
      <c r="F348" t="s">
        <v>56</v>
      </c>
      <c r="G348" t="s">
        <v>57</v>
      </c>
      <c r="H348" t="s">
        <v>21</v>
      </c>
      <c r="I348" s="8">
        <v>45011</v>
      </c>
      <c r="J348" s="8"/>
      <c r="K348" t="s">
        <v>22</v>
      </c>
      <c r="L348" s="9">
        <v>24200</v>
      </c>
      <c r="M348" s="10">
        <v>3</v>
      </c>
      <c r="N348" t="s">
        <v>23</v>
      </c>
    </row>
    <row r="349" spans="1:14">
      <c r="A349" t="s">
        <v>757</v>
      </c>
      <c r="B349" t="s">
        <v>758</v>
      </c>
      <c r="C349" t="s">
        <v>31</v>
      </c>
      <c r="D349" t="s">
        <v>26</v>
      </c>
      <c r="E349" t="s">
        <v>18</v>
      </c>
      <c r="F349" t="s">
        <v>19</v>
      </c>
      <c r="G349" t="s">
        <v>20</v>
      </c>
      <c r="H349" t="s">
        <v>21</v>
      </c>
      <c r="I349" s="8">
        <v>43760</v>
      </c>
      <c r="J349" s="8">
        <v>45256</v>
      </c>
      <c r="K349" t="s">
        <v>36</v>
      </c>
      <c r="L349" s="9">
        <v>51800</v>
      </c>
      <c r="M349" s="10">
        <v>1</v>
      </c>
      <c r="N349" t="s">
        <v>23</v>
      </c>
    </row>
    <row r="350" spans="1:14">
      <c r="A350" t="s">
        <v>759</v>
      </c>
      <c r="B350" t="s">
        <v>760</v>
      </c>
      <c r="C350" t="s">
        <v>16</v>
      </c>
      <c r="D350" t="s">
        <v>32</v>
      </c>
      <c r="E350" t="s">
        <v>27</v>
      </c>
      <c r="F350" t="s">
        <v>61</v>
      </c>
      <c r="G350" t="s">
        <v>57</v>
      </c>
      <c r="H350" t="s">
        <v>21</v>
      </c>
      <c r="I350" s="8">
        <v>43678</v>
      </c>
      <c r="J350" s="8"/>
      <c r="K350" t="s">
        <v>22</v>
      </c>
      <c r="L350" s="9">
        <v>49700</v>
      </c>
      <c r="M350" s="10">
        <v>3</v>
      </c>
      <c r="N350" t="s">
        <v>23</v>
      </c>
    </row>
    <row r="351" spans="1:14">
      <c r="A351" t="s">
        <v>761</v>
      </c>
      <c r="B351" t="s">
        <v>762</v>
      </c>
      <c r="C351" t="s">
        <v>31</v>
      </c>
      <c r="D351" t="s">
        <v>74</v>
      </c>
      <c r="E351" t="s">
        <v>70</v>
      </c>
      <c r="F351" t="s">
        <v>105</v>
      </c>
      <c r="G351" t="s">
        <v>20</v>
      </c>
      <c r="H351" t="s">
        <v>21</v>
      </c>
      <c r="I351" s="8">
        <v>45584</v>
      </c>
      <c r="J351" s="8"/>
      <c r="K351" t="s">
        <v>22</v>
      </c>
      <c r="L351" s="9">
        <v>46700</v>
      </c>
      <c r="M351" s="10">
        <v>2</v>
      </c>
      <c r="N351" t="s">
        <v>58</v>
      </c>
    </row>
    <row r="352" spans="1:14">
      <c r="A352" t="s">
        <v>763</v>
      </c>
      <c r="B352" t="s">
        <v>764</v>
      </c>
      <c r="C352" t="s">
        <v>31</v>
      </c>
      <c r="D352" t="s">
        <v>74</v>
      </c>
      <c r="E352" t="s">
        <v>64</v>
      </c>
      <c r="F352" t="s">
        <v>65</v>
      </c>
      <c r="G352" t="s">
        <v>35</v>
      </c>
      <c r="H352" t="s">
        <v>21</v>
      </c>
      <c r="I352" s="8">
        <v>45308</v>
      </c>
      <c r="J352" s="8"/>
      <c r="K352" t="s">
        <v>22</v>
      </c>
      <c r="L352" s="9">
        <v>34600</v>
      </c>
      <c r="M352" s="10">
        <v>3</v>
      </c>
      <c r="N352" t="s">
        <v>58</v>
      </c>
    </row>
    <row r="353" spans="1:14">
      <c r="A353" t="s">
        <v>765</v>
      </c>
      <c r="B353" t="s">
        <v>766</v>
      </c>
      <c r="C353" t="s">
        <v>16</v>
      </c>
      <c r="D353" t="s">
        <v>17</v>
      </c>
      <c r="E353" t="s">
        <v>64</v>
      </c>
      <c r="F353" t="s">
        <v>92</v>
      </c>
      <c r="G353" t="s">
        <v>20</v>
      </c>
      <c r="H353" t="s">
        <v>21</v>
      </c>
      <c r="I353" s="8">
        <v>44107</v>
      </c>
      <c r="J353" s="8">
        <v>45059</v>
      </c>
      <c r="K353" t="s">
        <v>36</v>
      </c>
      <c r="L353" s="9">
        <v>31800</v>
      </c>
      <c r="M353" s="10">
        <v>4</v>
      </c>
      <c r="N353" t="s">
        <v>23</v>
      </c>
    </row>
    <row r="354" spans="1:14">
      <c r="A354" t="s">
        <v>767</v>
      </c>
      <c r="B354" t="s">
        <v>768</v>
      </c>
      <c r="C354" t="s">
        <v>31</v>
      </c>
      <c r="D354" t="s">
        <v>26</v>
      </c>
      <c r="E354" t="s">
        <v>70</v>
      </c>
      <c r="F354" t="s">
        <v>71</v>
      </c>
      <c r="G354" t="s">
        <v>20</v>
      </c>
      <c r="H354" t="s">
        <v>21</v>
      </c>
      <c r="I354" s="8">
        <v>43365</v>
      </c>
      <c r="J354" s="8">
        <v>44392</v>
      </c>
      <c r="K354" t="s">
        <v>36</v>
      </c>
      <c r="L354" s="9">
        <v>18000</v>
      </c>
      <c r="M354" s="10">
        <v>4</v>
      </c>
      <c r="N354" t="s">
        <v>23</v>
      </c>
    </row>
    <row r="355" spans="1:14">
      <c r="A355" t="s">
        <v>769</v>
      </c>
      <c r="B355" t="s">
        <v>770</v>
      </c>
      <c r="C355" t="s">
        <v>16</v>
      </c>
      <c r="D355" t="s">
        <v>114</v>
      </c>
      <c r="E355" t="s">
        <v>44</v>
      </c>
      <c r="F355" t="s">
        <v>45</v>
      </c>
      <c r="G355" t="s">
        <v>40</v>
      </c>
      <c r="H355" t="s">
        <v>46</v>
      </c>
      <c r="I355" s="8">
        <v>44139</v>
      </c>
      <c r="J355" s="8"/>
      <c r="K355" t="s">
        <v>22</v>
      </c>
      <c r="L355" s="9">
        <v>33600</v>
      </c>
      <c r="M355" s="10">
        <v>4</v>
      </c>
      <c r="N355" t="s">
        <v>23</v>
      </c>
    </row>
    <row r="356" spans="1:14">
      <c r="A356" t="s">
        <v>771</v>
      </c>
      <c r="B356" t="s">
        <v>772</v>
      </c>
      <c r="C356" t="s">
        <v>16</v>
      </c>
      <c r="D356" t="s">
        <v>74</v>
      </c>
      <c r="E356" t="s">
        <v>44</v>
      </c>
      <c r="F356" t="s">
        <v>56</v>
      </c>
      <c r="G356" t="s">
        <v>20</v>
      </c>
      <c r="H356" t="s">
        <v>21</v>
      </c>
      <c r="I356" s="8">
        <v>43792</v>
      </c>
      <c r="J356" s="8"/>
      <c r="K356" t="s">
        <v>22</v>
      </c>
      <c r="L356" s="9">
        <v>23300</v>
      </c>
      <c r="M356" s="10">
        <v>4</v>
      </c>
      <c r="N356" t="s">
        <v>23</v>
      </c>
    </row>
    <row r="357" spans="1:14">
      <c r="A357" t="s">
        <v>773</v>
      </c>
      <c r="B357" t="s">
        <v>774</v>
      </c>
      <c r="C357" t="s">
        <v>31</v>
      </c>
      <c r="D357" t="s">
        <v>114</v>
      </c>
      <c r="E357" t="s">
        <v>70</v>
      </c>
      <c r="F357" t="s">
        <v>105</v>
      </c>
      <c r="G357" t="s">
        <v>35</v>
      </c>
      <c r="H357" t="s">
        <v>21</v>
      </c>
      <c r="I357" s="8">
        <v>44804</v>
      </c>
      <c r="J357" s="8">
        <v>45212</v>
      </c>
      <c r="K357" t="s">
        <v>36</v>
      </c>
      <c r="L357" s="9">
        <v>43300</v>
      </c>
      <c r="M357" s="10">
        <v>3</v>
      </c>
      <c r="N357" t="s">
        <v>23</v>
      </c>
    </row>
    <row r="358" spans="1:14">
      <c r="A358" t="s">
        <v>775</v>
      </c>
      <c r="B358" t="s">
        <v>776</v>
      </c>
      <c r="C358" t="s">
        <v>16</v>
      </c>
      <c r="D358" t="s">
        <v>49</v>
      </c>
      <c r="E358" t="s">
        <v>27</v>
      </c>
      <c r="F358" t="s">
        <v>28</v>
      </c>
      <c r="G358" t="s">
        <v>57</v>
      </c>
      <c r="H358" t="s">
        <v>21</v>
      </c>
      <c r="I358" s="8">
        <v>44021</v>
      </c>
      <c r="J358" s="8"/>
      <c r="K358" t="s">
        <v>22</v>
      </c>
      <c r="L358" s="9">
        <v>22800</v>
      </c>
      <c r="M358" s="10">
        <v>1</v>
      </c>
      <c r="N358" t="s">
        <v>23</v>
      </c>
    </row>
    <row r="359" spans="1:14">
      <c r="A359" t="s">
        <v>777</v>
      </c>
      <c r="B359" t="s">
        <v>778</v>
      </c>
      <c r="C359" t="s">
        <v>31</v>
      </c>
      <c r="D359" t="s">
        <v>114</v>
      </c>
      <c r="E359" t="s">
        <v>64</v>
      </c>
      <c r="F359" t="s">
        <v>92</v>
      </c>
      <c r="G359" t="s">
        <v>57</v>
      </c>
      <c r="H359" t="s">
        <v>21</v>
      </c>
      <c r="I359" s="8">
        <v>44055</v>
      </c>
      <c r="J359" s="8"/>
      <c r="K359" t="s">
        <v>22</v>
      </c>
      <c r="L359" s="9">
        <v>36300</v>
      </c>
      <c r="M359" s="10">
        <v>1</v>
      </c>
      <c r="N359" t="s">
        <v>23</v>
      </c>
    </row>
    <row r="360" spans="1:14">
      <c r="A360" t="s">
        <v>779</v>
      </c>
      <c r="B360" t="s">
        <v>780</v>
      </c>
      <c r="C360" t="s">
        <v>16</v>
      </c>
      <c r="D360" t="s">
        <v>49</v>
      </c>
      <c r="E360" t="s">
        <v>33</v>
      </c>
      <c r="F360" t="s">
        <v>34</v>
      </c>
      <c r="G360" t="s">
        <v>20</v>
      </c>
      <c r="H360" t="s">
        <v>21</v>
      </c>
      <c r="I360" s="8">
        <v>43623</v>
      </c>
      <c r="J360" s="8">
        <v>45620</v>
      </c>
      <c r="K360" t="s">
        <v>36</v>
      </c>
      <c r="L360" s="9">
        <v>48200</v>
      </c>
      <c r="M360" s="10">
        <v>4</v>
      </c>
      <c r="N360" t="s">
        <v>58</v>
      </c>
    </row>
    <row r="361" spans="1:14">
      <c r="A361" t="s">
        <v>781</v>
      </c>
      <c r="B361" t="s">
        <v>782</v>
      </c>
      <c r="C361" t="s">
        <v>31</v>
      </c>
      <c r="D361" t="s">
        <v>49</v>
      </c>
      <c r="E361" t="s">
        <v>33</v>
      </c>
      <c r="F361" t="s">
        <v>97</v>
      </c>
      <c r="G361" t="s">
        <v>57</v>
      </c>
      <c r="H361" t="s">
        <v>21</v>
      </c>
      <c r="I361" s="8">
        <v>45689</v>
      </c>
      <c r="J361" s="8"/>
      <c r="K361" t="s">
        <v>22</v>
      </c>
      <c r="L361" s="9">
        <v>31300</v>
      </c>
      <c r="M361" s="10">
        <v>4</v>
      </c>
      <c r="N361" t="s">
        <v>23</v>
      </c>
    </row>
    <row r="362" spans="1:14">
      <c r="A362" t="s">
        <v>783</v>
      </c>
      <c r="B362" t="s">
        <v>784</v>
      </c>
      <c r="C362" t="s">
        <v>16</v>
      </c>
      <c r="D362" t="s">
        <v>17</v>
      </c>
      <c r="E362" t="s">
        <v>18</v>
      </c>
      <c r="F362" t="s">
        <v>19</v>
      </c>
      <c r="G362" t="s">
        <v>35</v>
      </c>
      <c r="H362" t="s">
        <v>21</v>
      </c>
      <c r="I362" s="8">
        <v>43205</v>
      </c>
      <c r="J362" s="8"/>
      <c r="K362" t="s">
        <v>22</v>
      </c>
      <c r="L362" s="9">
        <v>59600</v>
      </c>
      <c r="M362" s="10">
        <v>5</v>
      </c>
      <c r="N362" t="s">
        <v>23</v>
      </c>
    </row>
    <row r="363" spans="1:14">
      <c r="A363" t="s">
        <v>785</v>
      </c>
      <c r="B363" t="s">
        <v>786</v>
      </c>
      <c r="C363" t="s">
        <v>31</v>
      </c>
      <c r="D363" t="s">
        <v>43</v>
      </c>
      <c r="E363" t="s">
        <v>18</v>
      </c>
      <c r="F363" t="s">
        <v>39</v>
      </c>
      <c r="G363" t="s">
        <v>35</v>
      </c>
      <c r="H363" t="s">
        <v>21</v>
      </c>
      <c r="I363" s="8">
        <v>43666</v>
      </c>
      <c r="J363" s="8"/>
      <c r="K363" t="s">
        <v>22</v>
      </c>
      <c r="L363" s="9">
        <v>55300</v>
      </c>
      <c r="M363" s="10">
        <v>4</v>
      </c>
      <c r="N363" t="s">
        <v>23</v>
      </c>
    </row>
    <row r="364" spans="1:14">
      <c r="A364" t="s">
        <v>787</v>
      </c>
      <c r="B364" t="s">
        <v>788</v>
      </c>
      <c r="C364" t="s">
        <v>16</v>
      </c>
      <c r="D364" t="s">
        <v>114</v>
      </c>
      <c r="E364" t="s">
        <v>64</v>
      </c>
      <c r="F364" t="s">
        <v>92</v>
      </c>
      <c r="G364" t="s">
        <v>20</v>
      </c>
      <c r="H364" t="s">
        <v>21</v>
      </c>
      <c r="I364" s="8">
        <v>43773</v>
      </c>
      <c r="J364" s="8"/>
      <c r="K364" t="s">
        <v>22</v>
      </c>
      <c r="L364" s="9">
        <v>48200</v>
      </c>
      <c r="M364" s="10">
        <v>4</v>
      </c>
      <c r="N364" t="s">
        <v>23</v>
      </c>
    </row>
    <row r="365" spans="1:14">
      <c r="A365" t="s">
        <v>789</v>
      </c>
      <c r="B365" t="s">
        <v>790</v>
      </c>
      <c r="C365" t="s">
        <v>31</v>
      </c>
      <c r="D365" t="s">
        <v>26</v>
      </c>
      <c r="E365" t="s">
        <v>64</v>
      </c>
      <c r="F365" t="s">
        <v>65</v>
      </c>
      <c r="G365" t="s">
        <v>40</v>
      </c>
      <c r="H365" t="s">
        <v>21</v>
      </c>
      <c r="I365" s="8">
        <v>43278</v>
      </c>
      <c r="J365" s="8"/>
      <c r="K365" t="s">
        <v>22</v>
      </c>
      <c r="L365" s="9">
        <v>35700</v>
      </c>
      <c r="M365" s="10">
        <v>5</v>
      </c>
      <c r="N365" t="s">
        <v>23</v>
      </c>
    </row>
    <row r="366" spans="1:14">
      <c r="A366" t="s">
        <v>791</v>
      </c>
      <c r="B366" t="s">
        <v>792</v>
      </c>
      <c r="C366" t="s">
        <v>31</v>
      </c>
      <c r="D366" t="s">
        <v>114</v>
      </c>
      <c r="E366" t="s">
        <v>64</v>
      </c>
      <c r="F366" t="s">
        <v>65</v>
      </c>
      <c r="G366" t="s">
        <v>40</v>
      </c>
      <c r="H366" t="s">
        <v>21</v>
      </c>
      <c r="I366" s="8">
        <v>45358</v>
      </c>
      <c r="J366" s="8"/>
      <c r="K366" t="s">
        <v>22</v>
      </c>
      <c r="L366" s="9">
        <v>30800</v>
      </c>
      <c r="M366" s="10">
        <v>5</v>
      </c>
      <c r="N366" t="s">
        <v>23</v>
      </c>
    </row>
    <row r="367" spans="1:14">
      <c r="A367" t="s">
        <v>793</v>
      </c>
      <c r="B367" t="s">
        <v>794</v>
      </c>
      <c r="C367" t="s">
        <v>31</v>
      </c>
      <c r="D367" t="s">
        <v>43</v>
      </c>
      <c r="E367" t="s">
        <v>70</v>
      </c>
      <c r="F367" t="s">
        <v>105</v>
      </c>
      <c r="G367" t="s">
        <v>35</v>
      </c>
      <c r="H367" t="s">
        <v>21</v>
      </c>
      <c r="I367" s="8">
        <v>45753</v>
      </c>
      <c r="J367" s="8"/>
      <c r="K367" t="s">
        <v>22</v>
      </c>
      <c r="L367" s="9">
        <v>34800</v>
      </c>
      <c r="M367" s="10">
        <v>4</v>
      </c>
      <c r="N367" t="s">
        <v>23</v>
      </c>
    </row>
    <row r="368" spans="1:14">
      <c r="A368" t="s">
        <v>795</v>
      </c>
      <c r="B368" t="s">
        <v>796</v>
      </c>
      <c r="C368" t="s">
        <v>31</v>
      </c>
      <c r="D368" t="s">
        <v>17</v>
      </c>
      <c r="E368" t="s">
        <v>70</v>
      </c>
      <c r="F368" t="s">
        <v>102</v>
      </c>
      <c r="G368" t="s">
        <v>20</v>
      </c>
      <c r="H368" t="s">
        <v>21</v>
      </c>
      <c r="I368" s="8">
        <v>45432</v>
      </c>
      <c r="J368" s="8"/>
      <c r="K368" t="s">
        <v>22</v>
      </c>
      <c r="L368" s="9">
        <v>41400</v>
      </c>
      <c r="M368" s="10">
        <v>3</v>
      </c>
      <c r="N368" t="s">
        <v>23</v>
      </c>
    </row>
    <row r="369" spans="1:14">
      <c r="A369" t="s">
        <v>797</v>
      </c>
      <c r="B369" t="s">
        <v>798</v>
      </c>
      <c r="C369" t="s">
        <v>16</v>
      </c>
      <c r="D369" t="s">
        <v>88</v>
      </c>
      <c r="E369" t="s">
        <v>27</v>
      </c>
      <c r="F369" t="s">
        <v>28</v>
      </c>
      <c r="G369" t="s">
        <v>35</v>
      </c>
      <c r="H369" t="s">
        <v>21</v>
      </c>
      <c r="I369" s="8">
        <v>45276</v>
      </c>
      <c r="J369" s="8"/>
      <c r="K369" t="s">
        <v>22</v>
      </c>
      <c r="L369" s="9">
        <v>31900</v>
      </c>
      <c r="M369" s="10">
        <v>3</v>
      </c>
      <c r="N369" t="s">
        <v>23</v>
      </c>
    </row>
    <row r="370" spans="1:14">
      <c r="A370" t="s">
        <v>799</v>
      </c>
      <c r="B370" t="s">
        <v>800</v>
      </c>
      <c r="C370" t="s">
        <v>16</v>
      </c>
      <c r="D370" t="s">
        <v>49</v>
      </c>
      <c r="E370" t="s">
        <v>27</v>
      </c>
      <c r="F370" t="s">
        <v>28</v>
      </c>
      <c r="G370" t="s">
        <v>57</v>
      </c>
      <c r="H370" t="s">
        <v>46</v>
      </c>
      <c r="I370" s="8">
        <v>45159</v>
      </c>
      <c r="J370" s="8"/>
      <c r="K370" t="s">
        <v>22</v>
      </c>
      <c r="L370" s="9">
        <v>46000</v>
      </c>
      <c r="M370" s="10">
        <v>1</v>
      </c>
      <c r="N370" t="s">
        <v>23</v>
      </c>
    </row>
    <row r="371" spans="1:14">
      <c r="A371" t="s">
        <v>801</v>
      </c>
      <c r="B371" t="s">
        <v>802</v>
      </c>
      <c r="C371" t="s">
        <v>31</v>
      </c>
      <c r="D371" t="s">
        <v>114</v>
      </c>
      <c r="E371" t="s">
        <v>44</v>
      </c>
      <c r="F371" t="s">
        <v>45</v>
      </c>
      <c r="G371" t="s">
        <v>20</v>
      </c>
      <c r="H371" t="s">
        <v>46</v>
      </c>
      <c r="I371" s="8">
        <v>45800</v>
      </c>
      <c r="J371" s="8"/>
      <c r="K371" t="s">
        <v>22</v>
      </c>
      <c r="L371" s="9">
        <v>18000</v>
      </c>
      <c r="M371" s="10">
        <v>4</v>
      </c>
      <c r="N371" t="s">
        <v>23</v>
      </c>
    </row>
    <row r="372" spans="1:14">
      <c r="A372" t="s">
        <v>803</v>
      </c>
      <c r="B372" t="s">
        <v>804</v>
      </c>
      <c r="C372" t="s">
        <v>31</v>
      </c>
      <c r="D372" t="s">
        <v>49</v>
      </c>
      <c r="E372" t="s">
        <v>70</v>
      </c>
      <c r="F372" t="s">
        <v>102</v>
      </c>
      <c r="G372" t="s">
        <v>40</v>
      </c>
      <c r="H372" t="s">
        <v>21</v>
      </c>
      <c r="I372" s="8">
        <v>44490</v>
      </c>
      <c r="J372" s="8"/>
      <c r="K372" t="s">
        <v>22</v>
      </c>
      <c r="L372" s="9">
        <v>40900</v>
      </c>
      <c r="M372" s="10">
        <v>3</v>
      </c>
      <c r="N372" t="s">
        <v>23</v>
      </c>
    </row>
    <row r="373" spans="1:14">
      <c r="A373" t="s">
        <v>805</v>
      </c>
      <c r="B373" t="s">
        <v>806</v>
      </c>
      <c r="C373" t="s">
        <v>16</v>
      </c>
      <c r="D373" t="s">
        <v>49</v>
      </c>
      <c r="E373" t="s">
        <v>64</v>
      </c>
      <c r="F373" t="s">
        <v>119</v>
      </c>
      <c r="G373" t="s">
        <v>40</v>
      </c>
      <c r="H373" t="s">
        <v>21</v>
      </c>
      <c r="I373" s="8">
        <v>44838</v>
      </c>
      <c r="J373" s="8"/>
      <c r="K373" t="s">
        <v>22</v>
      </c>
      <c r="L373" s="9">
        <v>33800</v>
      </c>
      <c r="M373" s="10">
        <v>4</v>
      </c>
      <c r="N373" t="s">
        <v>23</v>
      </c>
    </row>
    <row r="374" spans="1:14">
      <c r="A374" t="s">
        <v>807</v>
      </c>
      <c r="B374" t="s">
        <v>808</v>
      </c>
      <c r="C374" t="s">
        <v>16</v>
      </c>
      <c r="D374" t="s">
        <v>43</v>
      </c>
      <c r="E374" t="s">
        <v>44</v>
      </c>
      <c r="F374" t="s">
        <v>133</v>
      </c>
      <c r="G374" t="s">
        <v>40</v>
      </c>
      <c r="H374" t="s">
        <v>21</v>
      </c>
      <c r="I374" s="8">
        <v>44565</v>
      </c>
      <c r="J374" s="8"/>
      <c r="K374" t="s">
        <v>22</v>
      </c>
      <c r="L374" s="9">
        <v>24200</v>
      </c>
      <c r="M374" s="10">
        <v>4</v>
      </c>
      <c r="N374" t="s">
        <v>23</v>
      </c>
    </row>
    <row r="375" spans="1:14">
      <c r="A375" t="s">
        <v>809</v>
      </c>
      <c r="B375" t="s">
        <v>810</v>
      </c>
      <c r="C375" t="s">
        <v>31</v>
      </c>
      <c r="D375" t="s">
        <v>26</v>
      </c>
      <c r="E375" t="s">
        <v>18</v>
      </c>
      <c r="F375" t="s">
        <v>39</v>
      </c>
      <c r="G375" t="s">
        <v>35</v>
      </c>
      <c r="H375" t="s">
        <v>198</v>
      </c>
      <c r="I375" s="8">
        <v>45292</v>
      </c>
      <c r="J375" s="8"/>
      <c r="K375" t="s">
        <v>22</v>
      </c>
      <c r="L375" s="9">
        <v>76400</v>
      </c>
      <c r="M375" s="10">
        <v>1</v>
      </c>
      <c r="N375" t="s">
        <v>23</v>
      </c>
    </row>
    <row r="376" spans="1:14">
      <c r="A376" t="s">
        <v>811</v>
      </c>
      <c r="B376" t="s">
        <v>812</v>
      </c>
      <c r="C376" t="s">
        <v>31</v>
      </c>
      <c r="D376" t="s">
        <v>26</v>
      </c>
      <c r="E376" t="s">
        <v>52</v>
      </c>
      <c r="F376" t="s">
        <v>179</v>
      </c>
      <c r="G376" t="s">
        <v>20</v>
      </c>
      <c r="H376" t="s">
        <v>21</v>
      </c>
      <c r="I376" s="8">
        <v>44337</v>
      </c>
      <c r="J376" s="8"/>
      <c r="K376" t="s">
        <v>22</v>
      </c>
      <c r="L376" s="9">
        <v>41900</v>
      </c>
      <c r="M376" s="10">
        <v>4</v>
      </c>
      <c r="N376" t="s">
        <v>23</v>
      </c>
    </row>
    <row r="377" spans="1:14">
      <c r="A377" t="s">
        <v>813</v>
      </c>
      <c r="B377" t="s">
        <v>814</v>
      </c>
      <c r="C377" t="s">
        <v>31</v>
      </c>
      <c r="D377" t="s">
        <v>74</v>
      </c>
      <c r="E377" t="s">
        <v>52</v>
      </c>
      <c r="F377" t="s">
        <v>179</v>
      </c>
      <c r="G377" t="s">
        <v>40</v>
      </c>
      <c r="H377" t="s">
        <v>21</v>
      </c>
      <c r="I377" s="8">
        <v>43153</v>
      </c>
      <c r="J377" s="8"/>
      <c r="K377" t="s">
        <v>22</v>
      </c>
      <c r="L377" s="9">
        <v>43700</v>
      </c>
      <c r="M377" s="10">
        <v>3</v>
      </c>
      <c r="N377" t="s">
        <v>23</v>
      </c>
    </row>
    <row r="378" spans="1:14">
      <c r="A378" t="s">
        <v>815</v>
      </c>
      <c r="B378" t="s">
        <v>816</v>
      </c>
      <c r="C378" t="s">
        <v>16</v>
      </c>
      <c r="D378" t="s">
        <v>88</v>
      </c>
      <c r="E378" t="s">
        <v>33</v>
      </c>
      <c r="F378" t="s">
        <v>97</v>
      </c>
      <c r="G378" t="s">
        <v>20</v>
      </c>
      <c r="H378" t="s">
        <v>21</v>
      </c>
      <c r="I378" s="8">
        <v>45731</v>
      </c>
      <c r="J378" s="8"/>
      <c r="K378" t="s">
        <v>22</v>
      </c>
      <c r="L378" s="9">
        <v>42500</v>
      </c>
      <c r="M378" s="10">
        <v>2</v>
      </c>
      <c r="N378" t="s">
        <v>58</v>
      </c>
    </row>
    <row r="379" spans="1:14">
      <c r="A379" t="s">
        <v>817</v>
      </c>
      <c r="B379" t="s">
        <v>818</v>
      </c>
      <c r="C379" t="s">
        <v>16</v>
      </c>
      <c r="D379" t="s">
        <v>17</v>
      </c>
      <c r="E379" t="s">
        <v>64</v>
      </c>
      <c r="F379" t="s">
        <v>65</v>
      </c>
      <c r="G379" t="s">
        <v>20</v>
      </c>
      <c r="H379" t="s">
        <v>46</v>
      </c>
      <c r="I379" s="8">
        <v>43866</v>
      </c>
      <c r="J379" s="8"/>
      <c r="K379" t="s">
        <v>22</v>
      </c>
      <c r="L379" s="9">
        <v>39800</v>
      </c>
      <c r="M379" s="10">
        <v>4</v>
      </c>
      <c r="N379" t="s">
        <v>23</v>
      </c>
    </row>
    <row r="380" spans="1:14">
      <c r="A380" t="s">
        <v>819</v>
      </c>
      <c r="B380" t="s">
        <v>820</v>
      </c>
      <c r="C380" t="s">
        <v>31</v>
      </c>
      <c r="D380" t="s">
        <v>114</v>
      </c>
      <c r="E380" t="s">
        <v>27</v>
      </c>
      <c r="F380" t="s">
        <v>61</v>
      </c>
      <c r="G380" t="s">
        <v>57</v>
      </c>
      <c r="H380" t="s">
        <v>21</v>
      </c>
      <c r="I380" s="8">
        <v>45396</v>
      </c>
      <c r="J380" s="8">
        <v>46021</v>
      </c>
      <c r="K380" t="s">
        <v>36</v>
      </c>
      <c r="L380" s="9">
        <v>34300</v>
      </c>
      <c r="M380" s="10">
        <v>3</v>
      </c>
      <c r="N380" t="s">
        <v>23</v>
      </c>
    </row>
    <row r="381" spans="1:14">
      <c r="A381" t="s">
        <v>821</v>
      </c>
      <c r="B381" t="s">
        <v>822</v>
      </c>
      <c r="C381" t="s">
        <v>31</v>
      </c>
      <c r="D381" t="s">
        <v>17</v>
      </c>
      <c r="E381" t="s">
        <v>18</v>
      </c>
      <c r="F381" t="s">
        <v>19</v>
      </c>
      <c r="G381" t="s">
        <v>35</v>
      </c>
      <c r="H381" t="s">
        <v>21</v>
      </c>
      <c r="I381" s="8">
        <v>43140</v>
      </c>
      <c r="J381" s="8">
        <v>43387</v>
      </c>
      <c r="K381" t="s">
        <v>36</v>
      </c>
      <c r="L381" s="9">
        <v>48100</v>
      </c>
      <c r="M381" s="10">
        <v>5</v>
      </c>
      <c r="N381" t="s">
        <v>58</v>
      </c>
    </row>
    <row r="382" spans="1:14">
      <c r="A382" t="s">
        <v>823</v>
      </c>
      <c r="B382" t="s">
        <v>824</v>
      </c>
      <c r="C382" t="s">
        <v>16</v>
      </c>
      <c r="D382" t="s">
        <v>26</v>
      </c>
      <c r="E382" t="s">
        <v>18</v>
      </c>
      <c r="F382" t="s">
        <v>19</v>
      </c>
      <c r="G382" t="s">
        <v>40</v>
      </c>
      <c r="H382" t="s">
        <v>21</v>
      </c>
      <c r="I382" s="8">
        <v>43914</v>
      </c>
      <c r="J382" s="8"/>
      <c r="K382" t="s">
        <v>22</v>
      </c>
      <c r="L382" s="9">
        <v>47100</v>
      </c>
      <c r="M382" s="10">
        <v>4</v>
      </c>
      <c r="N382" t="s">
        <v>23</v>
      </c>
    </row>
    <row r="383" spans="1:14">
      <c r="A383" t="s">
        <v>825</v>
      </c>
      <c r="B383" t="s">
        <v>826</v>
      </c>
      <c r="C383" t="s">
        <v>31</v>
      </c>
      <c r="D383" t="s">
        <v>17</v>
      </c>
      <c r="E383" t="s">
        <v>70</v>
      </c>
      <c r="F383" t="s">
        <v>102</v>
      </c>
      <c r="G383" t="s">
        <v>40</v>
      </c>
      <c r="H383" t="s">
        <v>21</v>
      </c>
      <c r="I383" s="8">
        <v>45435</v>
      </c>
      <c r="J383" s="8">
        <v>45549</v>
      </c>
      <c r="K383" t="s">
        <v>36</v>
      </c>
      <c r="L383" s="9">
        <v>30700</v>
      </c>
      <c r="M383" s="10">
        <v>2</v>
      </c>
      <c r="N383" t="s">
        <v>23</v>
      </c>
    </row>
    <row r="384" spans="1:14">
      <c r="A384" t="s">
        <v>827</v>
      </c>
      <c r="B384" t="s">
        <v>828</v>
      </c>
      <c r="C384" t="s">
        <v>16</v>
      </c>
      <c r="D384" t="s">
        <v>32</v>
      </c>
      <c r="E384" t="s">
        <v>18</v>
      </c>
      <c r="F384" t="s">
        <v>39</v>
      </c>
      <c r="G384" t="s">
        <v>57</v>
      </c>
      <c r="H384" t="s">
        <v>21</v>
      </c>
      <c r="I384" s="8">
        <v>45971</v>
      </c>
      <c r="J384" s="8"/>
      <c r="K384" t="s">
        <v>22</v>
      </c>
      <c r="L384" s="9">
        <v>53300</v>
      </c>
      <c r="M384" s="10">
        <v>3</v>
      </c>
      <c r="N384" t="s">
        <v>23</v>
      </c>
    </row>
    <row r="385" spans="1:14">
      <c r="A385" t="s">
        <v>829</v>
      </c>
      <c r="B385" t="s">
        <v>830</v>
      </c>
      <c r="C385" t="s">
        <v>31</v>
      </c>
      <c r="D385" t="s">
        <v>49</v>
      </c>
      <c r="E385" t="s">
        <v>70</v>
      </c>
      <c r="F385" t="s">
        <v>71</v>
      </c>
      <c r="G385" t="s">
        <v>20</v>
      </c>
      <c r="H385" t="s">
        <v>46</v>
      </c>
      <c r="I385" s="8">
        <v>45699</v>
      </c>
      <c r="J385" s="8"/>
      <c r="K385" t="s">
        <v>22</v>
      </c>
      <c r="L385" s="9">
        <v>33200</v>
      </c>
      <c r="M385" s="10">
        <v>2</v>
      </c>
      <c r="N385" t="s">
        <v>23</v>
      </c>
    </row>
    <row r="386" spans="1:14">
      <c r="A386" t="s">
        <v>831</v>
      </c>
      <c r="B386" t="s">
        <v>832</v>
      </c>
      <c r="C386" t="s">
        <v>16</v>
      </c>
      <c r="D386" t="s">
        <v>88</v>
      </c>
      <c r="E386" t="s">
        <v>52</v>
      </c>
      <c r="F386" t="s">
        <v>179</v>
      </c>
      <c r="G386" t="s">
        <v>40</v>
      </c>
      <c r="H386" t="s">
        <v>21</v>
      </c>
      <c r="I386" s="8">
        <v>45036</v>
      </c>
      <c r="J386" s="8"/>
      <c r="K386" t="s">
        <v>22</v>
      </c>
      <c r="L386" s="9">
        <v>56000</v>
      </c>
      <c r="M386" s="10">
        <v>3</v>
      </c>
      <c r="N386" t="s">
        <v>23</v>
      </c>
    </row>
    <row r="387" spans="1:14">
      <c r="A387" t="s">
        <v>833</v>
      </c>
      <c r="B387" t="s">
        <v>834</v>
      </c>
      <c r="C387" t="s">
        <v>16</v>
      </c>
      <c r="D387" t="s">
        <v>88</v>
      </c>
      <c r="E387" t="s">
        <v>27</v>
      </c>
      <c r="F387" t="s">
        <v>28</v>
      </c>
      <c r="G387" t="s">
        <v>40</v>
      </c>
      <c r="H387" t="s">
        <v>21</v>
      </c>
      <c r="I387" s="8">
        <v>44342</v>
      </c>
      <c r="J387" s="8"/>
      <c r="K387" t="s">
        <v>22</v>
      </c>
      <c r="L387" s="9">
        <v>42100</v>
      </c>
      <c r="M387" s="10">
        <v>5</v>
      </c>
      <c r="N387" t="s">
        <v>58</v>
      </c>
    </row>
    <row r="388" spans="1:14">
      <c r="A388" t="s">
        <v>835</v>
      </c>
      <c r="B388" t="s">
        <v>836</v>
      </c>
      <c r="C388" t="s">
        <v>16</v>
      </c>
      <c r="D388" t="s">
        <v>43</v>
      </c>
      <c r="E388" t="s">
        <v>64</v>
      </c>
      <c r="F388" t="s">
        <v>92</v>
      </c>
      <c r="G388" t="s">
        <v>40</v>
      </c>
      <c r="H388" t="s">
        <v>21</v>
      </c>
      <c r="I388" s="8">
        <v>43658</v>
      </c>
      <c r="J388" s="8"/>
      <c r="K388" t="s">
        <v>22</v>
      </c>
      <c r="L388" s="9">
        <v>32000</v>
      </c>
      <c r="M388" s="10">
        <v>3</v>
      </c>
      <c r="N388" t="s">
        <v>58</v>
      </c>
    </row>
    <row r="389" spans="1:14">
      <c r="A389" t="s">
        <v>837</v>
      </c>
      <c r="B389" t="s">
        <v>838</v>
      </c>
      <c r="C389" t="s">
        <v>16</v>
      </c>
      <c r="D389" t="s">
        <v>88</v>
      </c>
      <c r="E389" t="s">
        <v>64</v>
      </c>
      <c r="F389" t="s">
        <v>92</v>
      </c>
      <c r="G389" t="s">
        <v>20</v>
      </c>
      <c r="H389" t="s">
        <v>21</v>
      </c>
      <c r="I389" s="8">
        <v>44757</v>
      </c>
      <c r="J389" s="8"/>
      <c r="K389" t="s">
        <v>22</v>
      </c>
      <c r="L389" s="9">
        <v>38800</v>
      </c>
      <c r="M389" s="10">
        <v>5</v>
      </c>
      <c r="N389" t="s">
        <v>23</v>
      </c>
    </row>
    <row r="390" spans="1:14">
      <c r="A390" t="s">
        <v>839</v>
      </c>
      <c r="B390" t="s">
        <v>840</v>
      </c>
      <c r="C390" t="s">
        <v>16</v>
      </c>
      <c r="D390" t="s">
        <v>114</v>
      </c>
      <c r="E390" t="s">
        <v>33</v>
      </c>
      <c r="F390" t="s">
        <v>148</v>
      </c>
      <c r="G390" t="s">
        <v>20</v>
      </c>
      <c r="H390" t="s">
        <v>21</v>
      </c>
      <c r="I390" s="8">
        <v>44386</v>
      </c>
      <c r="J390" s="8"/>
      <c r="K390" t="s">
        <v>22</v>
      </c>
      <c r="L390" s="9">
        <v>55400</v>
      </c>
      <c r="M390" s="10">
        <v>4</v>
      </c>
      <c r="N390" t="s">
        <v>23</v>
      </c>
    </row>
    <row r="391" spans="1:14">
      <c r="A391" t="s">
        <v>841</v>
      </c>
      <c r="B391" t="s">
        <v>842</v>
      </c>
      <c r="C391" t="s">
        <v>31</v>
      </c>
      <c r="D391" t="s">
        <v>26</v>
      </c>
      <c r="E391" t="s">
        <v>64</v>
      </c>
      <c r="F391" t="s">
        <v>119</v>
      </c>
      <c r="G391" t="s">
        <v>57</v>
      </c>
      <c r="H391" t="s">
        <v>21</v>
      </c>
      <c r="I391" s="8">
        <v>43770</v>
      </c>
      <c r="J391" s="8"/>
      <c r="K391" t="s">
        <v>22</v>
      </c>
      <c r="L391" s="9">
        <v>45500</v>
      </c>
      <c r="M391" s="10">
        <v>3</v>
      </c>
      <c r="N391" t="s">
        <v>23</v>
      </c>
    </row>
    <row r="392" spans="1:14">
      <c r="A392" t="s">
        <v>843</v>
      </c>
      <c r="B392" t="s">
        <v>844</v>
      </c>
      <c r="C392" t="s">
        <v>16</v>
      </c>
      <c r="D392" t="s">
        <v>114</v>
      </c>
      <c r="E392" t="s">
        <v>64</v>
      </c>
      <c r="F392" t="s">
        <v>119</v>
      </c>
      <c r="G392" t="s">
        <v>35</v>
      </c>
      <c r="H392" t="s">
        <v>46</v>
      </c>
      <c r="I392" s="8">
        <v>45542</v>
      </c>
      <c r="J392" s="8">
        <v>45811</v>
      </c>
      <c r="K392" t="s">
        <v>36</v>
      </c>
      <c r="L392" s="9">
        <v>31200</v>
      </c>
      <c r="M392" s="10">
        <v>3</v>
      </c>
      <c r="N392" t="s">
        <v>23</v>
      </c>
    </row>
    <row r="393" spans="1:14">
      <c r="A393" t="s">
        <v>845</v>
      </c>
      <c r="B393" t="s">
        <v>846</v>
      </c>
      <c r="C393" t="s">
        <v>16</v>
      </c>
      <c r="D393" t="s">
        <v>74</v>
      </c>
      <c r="E393" t="s">
        <v>33</v>
      </c>
      <c r="F393" t="s">
        <v>34</v>
      </c>
      <c r="G393" t="s">
        <v>20</v>
      </c>
      <c r="H393" t="s">
        <v>21</v>
      </c>
      <c r="I393" s="8">
        <v>44519</v>
      </c>
      <c r="J393" s="8"/>
      <c r="K393" t="s">
        <v>22</v>
      </c>
      <c r="L393" s="9">
        <v>46900</v>
      </c>
      <c r="M393" s="10">
        <v>2</v>
      </c>
      <c r="N393" t="s">
        <v>58</v>
      </c>
    </row>
    <row r="394" spans="1:14">
      <c r="A394" t="s">
        <v>847</v>
      </c>
      <c r="B394" t="s">
        <v>848</v>
      </c>
      <c r="C394" t="s">
        <v>31</v>
      </c>
      <c r="D394" t="s">
        <v>32</v>
      </c>
      <c r="E394" t="s">
        <v>33</v>
      </c>
      <c r="F394" t="s">
        <v>148</v>
      </c>
      <c r="G394" t="s">
        <v>57</v>
      </c>
      <c r="H394" t="s">
        <v>21</v>
      </c>
      <c r="I394" s="8">
        <v>43883</v>
      </c>
      <c r="J394" s="8">
        <v>44681</v>
      </c>
      <c r="K394" t="s">
        <v>36</v>
      </c>
      <c r="L394" s="9">
        <v>46600</v>
      </c>
      <c r="M394" s="10">
        <v>4</v>
      </c>
      <c r="N394" t="s">
        <v>58</v>
      </c>
    </row>
    <row r="395" spans="1:14">
      <c r="A395" t="s">
        <v>849</v>
      </c>
      <c r="B395" t="s">
        <v>850</v>
      </c>
      <c r="C395" t="s">
        <v>31</v>
      </c>
      <c r="D395" t="s">
        <v>26</v>
      </c>
      <c r="E395" t="s">
        <v>70</v>
      </c>
      <c r="F395" t="s">
        <v>105</v>
      </c>
      <c r="G395" t="s">
        <v>20</v>
      </c>
      <c r="H395" t="s">
        <v>21</v>
      </c>
      <c r="I395" s="8">
        <v>43974</v>
      </c>
      <c r="J395" s="8"/>
      <c r="K395" t="s">
        <v>22</v>
      </c>
      <c r="L395" s="9">
        <v>50100</v>
      </c>
      <c r="M395" s="10">
        <v>5</v>
      </c>
      <c r="N395" t="s">
        <v>23</v>
      </c>
    </row>
    <row r="396" spans="1:14">
      <c r="A396" t="s">
        <v>851</v>
      </c>
      <c r="B396" t="s">
        <v>852</v>
      </c>
      <c r="C396" t="s">
        <v>16</v>
      </c>
      <c r="D396" t="s">
        <v>88</v>
      </c>
      <c r="E396" t="s">
        <v>70</v>
      </c>
      <c r="F396" t="s">
        <v>102</v>
      </c>
      <c r="G396" t="s">
        <v>57</v>
      </c>
      <c r="H396" t="s">
        <v>21</v>
      </c>
      <c r="I396" s="8">
        <v>45988</v>
      </c>
      <c r="J396" s="8"/>
      <c r="K396" t="s">
        <v>22</v>
      </c>
      <c r="L396" s="9">
        <v>44400</v>
      </c>
      <c r="M396" s="10">
        <v>5</v>
      </c>
      <c r="N396" t="s">
        <v>23</v>
      </c>
    </row>
    <row r="397" spans="1:14">
      <c r="A397" t="s">
        <v>853</v>
      </c>
      <c r="B397" t="s">
        <v>854</v>
      </c>
      <c r="C397" t="s">
        <v>16</v>
      </c>
      <c r="D397" t="s">
        <v>114</v>
      </c>
      <c r="E397" t="s">
        <v>44</v>
      </c>
      <c r="F397" t="s">
        <v>56</v>
      </c>
      <c r="G397" t="s">
        <v>57</v>
      </c>
      <c r="H397" t="s">
        <v>46</v>
      </c>
      <c r="I397" s="8">
        <v>44094</v>
      </c>
      <c r="J397" s="8"/>
      <c r="K397" t="s">
        <v>22</v>
      </c>
      <c r="L397" s="9">
        <v>27700</v>
      </c>
      <c r="M397" s="10">
        <v>5</v>
      </c>
      <c r="N397" t="s">
        <v>23</v>
      </c>
    </row>
    <row r="398" spans="1:14">
      <c r="A398" t="s">
        <v>855</v>
      </c>
      <c r="B398" t="s">
        <v>856</v>
      </c>
      <c r="C398" t="s">
        <v>31</v>
      </c>
      <c r="D398" t="s">
        <v>114</v>
      </c>
      <c r="E398" t="s">
        <v>64</v>
      </c>
      <c r="F398" t="s">
        <v>92</v>
      </c>
      <c r="G398" t="s">
        <v>57</v>
      </c>
      <c r="H398" t="s">
        <v>21</v>
      </c>
      <c r="I398" s="8">
        <v>44453</v>
      </c>
      <c r="J398" s="8"/>
      <c r="K398" t="s">
        <v>22</v>
      </c>
      <c r="L398" s="9">
        <v>18000</v>
      </c>
      <c r="M398" s="10">
        <v>5</v>
      </c>
      <c r="N398" t="s">
        <v>23</v>
      </c>
    </row>
    <row r="399" spans="1:14">
      <c r="A399" t="s">
        <v>857</v>
      </c>
      <c r="B399" t="s">
        <v>858</v>
      </c>
      <c r="C399" t="s">
        <v>16</v>
      </c>
      <c r="D399" t="s">
        <v>32</v>
      </c>
      <c r="E399" t="s">
        <v>27</v>
      </c>
      <c r="F399" t="s">
        <v>61</v>
      </c>
      <c r="G399" t="s">
        <v>40</v>
      </c>
      <c r="H399" t="s">
        <v>21</v>
      </c>
      <c r="I399" s="8">
        <v>45004</v>
      </c>
      <c r="J399" s="8"/>
      <c r="K399" t="s">
        <v>22</v>
      </c>
      <c r="L399" s="9">
        <v>34600</v>
      </c>
      <c r="M399" s="10">
        <v>1</v>
      </c>
      <c r="N399" t="s">
        <v>23</v>
      </c>
    </row>
    <row r="400" spans="1:14">
      <c r="A400" t="s">
        <v>859</v>
      </c>
      <c r="B400" t="s">
        <v>860</v>
      </c>
      <c r="C400" t="s">
        <v>31</v>
      </c>
      <c r="D400" t="s">
        <v>17</v>
      </c>
      <c r="E400" t="s">
        <v>64</v>
      </c>
      <c r="F400" t="s">
        <v>92</v>
      </c>
      <c r="G400" t="s">
        <v>35</v>
      </c>
      <c r="H400" t="s">
        <v>198</v>
      </c>
      <c r="I400" s="8">
        <v>43579</v>
      </c>
      <c r="J400" s="8">
        <v>44195</v>
      </c>
      <c r="K400" t="s">
        <v>36</v>
      </c>
      <c r="L400" s="9">
        <v>39900</v>
      </c>
      <c r="M400" s="10">
        <v>4</v>
      </c>
      <c r="N400" t="s">
        <v>23</v>
      </c>
    </row>
    <row r="401" spans="1:14">
      <c r="A401" t="s">
        <v>861</v>
      </c>
      <c r="B401" t="s">
        <v>862</v>
      </c>
      <c r="C401" t="s">
        <v>16</v>
      </c>
      <c r="D401" t="s">
        <v>114</v>
      </c>
      <c r="E401" t="s">
        <v>18</v>
      </c>
      <c r="F401" t="s">
        <v>39</v>
      </c>
      <c r="G401" t="s">
        <v>40</v>
      </c>
      <c r="H401" t="s">
        <v>21</v>
      </c>
      <c r="I401" s="8">
        <v>44630</v>
      </c>
      <c r="J401" s="8"/>
      <c r="K401" t="s">
        <v>22</v>
      </c>
      <c r="L401" s="9">
        <v>58100</v>
      </c>
      <c r="M401" s="10">
        <v>4</v>
      </c>
      <c r="N401" t="s">
        <v>23</v>
      </c>
    </row>
    <row r="402" spans="1:14">
      <c r="A402" t="s">
        <v>863</v>
      </c>
      <c r="B402" t="s">
        <v>864</v>
      </c>
      <c r="C402" t="s">
        <v>16</v>
      </c>
      <c r="D402" t="s">
        <v>32</v>
      </c>
      <c r="E402" t="s">
        <v>44</v>
      </c>
      <c r="F402" t="s">
        <v>45</v>
      </c>
      <c r="G402" t="s">
        <v>20</v>
      </c>
      <c r="H402" t="s">
        <v>21</v>
      </c>
      <c r="I402" s="8">
        <v>44911</v>
      </c>
      <c r="J402" s="8"/>
      <c r="K402" t="s">
        <v>22</v>
      </c>
      <c r="L402" s="9">
        <v>48800</v>
      </c>
      <c r="M402" s="10">
        <v>5</v>
      </c>
      <c r="N402" t="s">
        <v>58</v>
      </c>
    </row>
    <row r="403" spans="1:14">
      <c r="A403" t="s">
        <v>865</v>
      </c>
      <c r="B403" t="s">
        <v>866</v>
      </c>
      <c r="C403" t="s">
        <v>31</v>
      </c>
      <c r="D403" t="s">
        <v>26</v>
      </c>
      <c r="E403" t="s">
        <v>27</v>
      </c>
      <c r="F403" t="s">
        <v>28</v>
      </c>
      <c r="G403" t="s">
        <v>35</v>
      </c>
      <c r="H403" t="s">
        <v>21</v>
      </c>
      <c r="I403" s="8">
        <v>44304</v>
      </c>
      <c r="J403" s="8">
        <v>44549</v>
      </c>
      <c r="K403" t="s">
        <v>36</v>
      </c>
      <c r="L403" s="9">
        <v>37800</v>
      </c>
      <c r="M403" s="10">
        <v>3</v>
      </c>
      <c r="N403" t="s">
        <v>23</v>
      </c>
    </row>
    <row r="404" spans="1:14">
      <c r="A404" t="s">
        <v>867</v>
      </c>
      <c r="B404" t="s">
        <v>868</v>
      </c>
      <c r="C404" t="s">
        <v>31</v>
      </c>
      <c r="D404" t="s">
        <v>43</v>
      </c>
      <c r="E404" t="s">
        <v>44</v>
      </c>
      <c r="F404" t="s">
        <v>133</v>
      </c>
      <c r="G404" t="s">
        <v>57</v>
      </c>
      <c r="H404" t="s">
        <v>21</v>
      </c>
      <c r="I404" s="8">
        <v>44811</v>
      </c>
      <c r="J404" s="8"/>
      <c r="K404" t="s">
        <v>22</v>
      </c>
      <c r="L404" s="9">
        <v>23900</v>
      </c>
      <c r="M404" s="10">
        <v>3</v>
      </c>
      <c r="N404" t="s">
        <v>23</v>
      </c>
    </row>
    <row r="405" spans="1:14">
      <c r="A405" t="s">
        <v>869</v>
      </c>
      <c r="B405" t="s">
        <v>870</v>
      </c>
      <c r="C405" t="s">
        <v>16</v>
      </c>
      <c r="D405" t="s">
        <v>49</v>
      </c>
      <c r="E405" t="s">
        <v>64</v>
      </c>
      <c r="F405" t="s">
        <v>119</v>
      </c>
      <c r="G405" t="s">
        <v>40</v>
      </c>
      <c r="H405" t="s">
        <v>21</v>
      </c>
      <c r="I405" s="8">
        <v>45975</v>
      </c>
      <c r="J405" s="8"/>
      <c r="K405" t="s">
        <v>22</v>
      </c>
      <c r="L405" s="9">
        <v>29800</v>
      </c>
      <c r="M405" s="10">
        <v>1</v>
      </c>
      <c r="N405" t="s">
        <v>23</v>
      </c>
    </row>
    <row r="406" spans="1:14">
      <c r="A406" t="s">
        <v>871</v>
      </c>
      <c r="B406" t="s">
        <v>872</v>
      </c>
      <c r="C406" t="s">
        <v>16</v>
      </c>
      <c r="D406" t="s">
        <v>114</v>
      </c>
      <c r="E406" t="s">
        <v>44</v>
      </c>
      <c r="F406" t="s">
        <v>45</v>
      </c>
      <c r="G406" t="s">
        <v>20</v>
      </c>
      <c r="H406" t="s">
        <v>21</v>
      </c>
      <c r="I406" s="8">
        <v>44162</v>
      </c>
      <c r="J406" s="8"/>
      <c r="K406" t="s">
        <v>22</v>
      </c>
      <c r="L406" s="9">
        <v>41900</v>
      </c>
      <c r="M406" s="10">
        <v>3</v>
      </c>
      <c r="N406" t="s">
        <v>23</v>
      </c>
    </row>
    <row r="407" spans="1:14">
      <c r="A407" t="s">
        <v>873</v>
      </c>
      <c r="B407" t="s">
        <v>874</v>
      </c>
      <c r="C407" t="s">
        <v>16</v>
      </c>
      <c r="D407" t="s">
        <v>26</v>
      </c>
      <c r="E407" t="s">
        <v>70</v>
      </c>
      <c r="F407" t="s">
        <v>105</v>
      </c>
      <c r="G407" t="s">
        <v>20</v>
      </c>
      <c r="H407" t="s">
        <v>21</v>
      </c>
      <c r="I407" s="8">
        <v>45000</v>
      </c>
      <c r="J407" s="8"/>
      <c r="K407" t="s">
        <v>22</v>
      </c>
      <c r="L407" s="9">
        <v>28700</v>
      </c>
      <c r="M407" s="10">
        <v>2</v>
      </c>
      <c r="N407" t="s">
        <v>23</v>
      </c>
    </row>
    <row r="408" spans="1:14">
      <c r="A408" t="s">
        <v>875</v>
      </c>
      <c r="B408" t="s">
        <v>876</v>
      </c>
      <c r="C408" t="s">
        <v>16</v>
      </c>
      <c r="D408" t="s">
        <v>114</v>
      </c>
      <c r="E408" t="s">
        <v>70</v>
      </c>
      <c r="F408" t="s">
        <v>102</v>
      </c>
      <c r="G408" t="s">
        <v>40</v>
      </c>
      <c r="H408" t="s">
        <v>21</v>
      </c>
      <c r="I408" s="8">
        <v>43413</v>
      </c>
      <c r="J408" s="8">
        <v>45114</v>
      </c>
      <c r="K408" t="s">
        <v>36</v>
      </c>
      <c r="L408" s="9">
        <v>35600</v>
      </c>
      <c r="M408" s="10">
        <v>4</v>
      </c>
      <c r="N408" t="s">
        <v>58</v>
      </c>
    </row>
    <row r="409" spans="1:14">
      <c r="A409" t="s">
        <v>877</v>
      </c>
      <c r="B409" t="s">
        <v>878</v>
      </c>
      <c r="C409" t="s">
        <v>16</v>
      </c>
      <c r="D409" t="s">
        <v>114</v>
      </c>
      <c r="E409" t="s">
        <v>70</v>
      </c>
      <c r="F409" t="s">
        <v>102</v>
      </c>
      <c r="G409" t="s">
        <v>40</v>
      </c>
      <c r="H409" t="s">
        <v>21</v>
      </c>
      <c r="I409" s="8">
        <v>45278</v>
      </c>
      <c r="J409" s="8"/>
      <c r="K409" t="s">
        <v>22</v>
      </c>
      <c r="L409" s="9">
        <v>31100</v>
      </c>
      <c r="M409" s="10">
        <v>5</v>
      </c>
      <c r="N409" t="s">
        <v>58</v>
      </c>
    </row>
    <row r="410" spans="1:14">
      <c r="A410" t="s">
        <v>879</v>
      </c>
      <c r="B410" t="s">
        <v>880</v>
      </c>
      <c r="C410" t="s">
        <v>16</v>
      </c>
      <c r="D410" t="s">
        <v>43</v>
      </c>
      <c r="E410" t="s">
        <v>70</v>
      </c>
      <c r="F410" t="s">
        <v>105</v>
      </c>
      <c r="G410" t="s">
        <v>20</v>
      </c>
      <c r="H410" t="s">
        <v>21</v>
      </c>
      <c r="I410" s="8">
        <v>45498</v>
      </c>
      <c r="J410" s="8"/>
      <c r="K410" t="s">
        <v>22</v>
      </c>
      <c r="L410" s="9">
        <v>51700</v>
      </c>
      <c r="M410" s="10">
        <v>3</v>
      </c>
      <c r="N410" t="s">
        <v>23</v>
      </c>
    </row>
    <row r="411" spans="1:14">
      <c r="A411" t="s">
        <v>881</v>
      </c>
      <c r="B411" t="s">
        <v>882</v>
      </c>
      <c r="C411" t="s">
        <v>16</v>
      </c>
      <c r="D411" t="s">
        <v>32</v>
      </c>
      <c r="E411" t="s">
        <v>27</v>
      </c>
      <c r="F411" t="s">
        <v>61</v>
      </c>
      <c r="G411" t="s">
        <v>40</v>
      </c>
      <c r="H411" t="s">
        <v>21</v>
      </c>
      <c r="I411" s="8">
        <v>44885</v>
      </c>
      <c r="J411" s="8"/>
      <c r="K411" t="s">
        <v>22</v>
      </c>
      <c r="L411" s="9">
        <v>30300</v>
      </c>
      <c r="M411" s="10">
        <v>4</v>
      </c>
      <c r="N411" t="s">
        <v>23</v>
      </c>
    </row>
    <row r="412" spans="1:14">
      <c r="A412" t="s">
        <v>883</v>
      </c>
      <c r="B412" t="s">
        <v>884</v>
      </c>
      <c r="C412" t="s">
        <v>16</v>
      </c>
      <c r="D412" t="s">
        <v>43</v>
      </c>
      <c r="E412" t="s">
        <v>18</v>
      </c>
      <c r="F412" t="s">
        <v>39</v>
      </c>
      <c r="G412" t="s">
        <v>35</v>
      </c>
      <c r="H412" t="s">
        <v>198</v>
      </c>
      <c r="I412" s="8">
        <v>44147</v>
      </c>
      <c r="J412" s="8">
        <v>44343</v>
      </c>
      <c r="K412" t="s">
        <v>36</v>
      </c>
      <c r="L412" s="9">
        <v>62700</v>
      </c>
      <c r="M412" s="10">
        <v>3</v>
      </c>
      <c r="N412" t="s">
        <v>23</v>
      </c>
    </row>
    <row r="413" spans="1:14">
      <c r="A413" t="s">
        <v>885</v>
      </c>
      <c r="B413" t="s">
        <v>886</v>
      </c>
      <c r="C413" t="s">
        <v>16</v>
      </c>
      <c r="D413" t="s">
        <v>49</v>
      </c>
      <c r="E413" t="s">
        <v>70</v>
      </c>
      <c r="F413" t="s">
        <v>102</v>
      </c>
      <c r="G413" t="s">
        <v>57</v>
      </c>
      <c r="H413" t="s">
        <v>21</v>
      </c>
      <c r="I413" s="8">
        <v>45642</v>
      </c>
      <c r="J413" s="8"/>
      <c r="K413" t="s">
        <v>22</v>
      </c>
      <c r="L413" s="9">
        <v>34200</v>
      </c>
      <c r="M413" s="10">
        <v>5</v>
      </c>
      <c r="N413" t="s">
        <v>58</v>
      </c>
    </row>
    <row r="414" spans="1:14">
      <c r="A414" t="s">
        <v>887</v>
      </c>
      <c r="B414" t="s">
        <v>888</v>
      </c>
      <c r="C414" t="s">
        <v>16</v>
      </c>
      <c r="D414" t="s">
        <v>114</v>
      </c>
      <c r="E414" t="s">
        <v>18</v>
      </c>
      <c r="F414" t="s">
        <v>39</v>
      </c>
      <c r="G414" t="s">
        <v>35</v>
      </c>
      <c r="H414" t="s">
        <v>21</v>
      </c>
      <c r="I414" s="8">
        <v>45655</v>
      </c>
      <c r="J414" s="8"/>
      <c r="K414" t="s">
        <v>22</v>
      </c>
      <c r="L414" s="9">
        <v>65200</v>
      </c>
      <c r="M414" s="10">
        <v>4</v>
      </c>
      <c r="N414" t="s">
        <v>23</v>
      </c>
    </row>
    <row r="415" spans="1:14">
      <c r="A415" t="s">
        <v>889</v>
      </c>
      <c r="B415" t="s">
        <v>890</v>
      </c>
      <c r="C415" t="s">
        <v>16</v>
      </c>
      <c r="D415" t="s">
        <v>74</v>
      </c>
      <c r="E415" t="s">
        <v>70</v>
      </c>
      <c r="F415" t="s">
        <v>105</v>
      </c>
      <c r="G415" t="s">
        <v>57</v>
      </c>
      <c r="H415" t="s">
        <v>21</v>
      </c>
      <c r="I415" s="8">
        <v>43738</v>
      </c>
      <c r="J415" s="8"/>
      <c r="K415" t="s">
        <v>22</v>
      </c>
      <c r="L415" s="9">
        <v>49500</v>
      </c>
      <c r="M415" s="10">
        <v>4</v>
      </c>
      <c r="N415" t="s">
        <v>58</v>
      </c>
    </row>
    <row r="416" spans="1:14">
      <c r="A416" t="s">
        <v>891</v>
      </c>
      <c r="B416" t="s">
        <v>892</v>
      </c>
      <c r="C416" t="s">
        <v>31</v>
      </c>
      <c r="D416" t="s">
        <v>49</v>
      </c>
      <c r="E416" t="s">
        <v>64</v>
      </c>
      <c r="F416" t="s">
        <v>92</v>
      </c>
      <c r="G416" t="s">
        <v>40</v>
      </c>
      <c r="H416" t="s">
        <v>21</v>
      </c>
      <c r="I416" s="8">
        <v>43339</v>
      </c>
      <c r="J416" s="8"/>
      <c r="K416" t="s">
        <v>22</v>
      </c>
      <c r="L416" s="9">
        <v>38100</v>
      </c>
      <c r="M416" s="10">
        <v>3</v>
      </c>
      <c r="N416" t="s">
        <v>58</v>
      </c>
    </row>
    <row r="417" spans="1:14">
      <c r="A417" t="s">
        <v>893</v>
      </c>
      <c r="B417" t="s">
        <v>894</v>
      </c>
      <c r="C417" t="s">
        <v>31</v>
      </c>
      <c r="D417" t="s">
        <v>114</v>
      </c>
      <c r="E417" t="s">
        <v>70</v>
      </c>
      <c r="F417" t="s">
        <v>71</v>
      </c>
      <c r="G417" t="s">
        <v>35</v>
      </c>
      <c r="H417" t="s">
        <v>198</v>
      </c>
      <c r="I417" s="8">
        <v>43228</v>
      </c>
      <c r="J417" s="8"/>
      <c r="K417" t="s">
        <v>22</v>
      </c>
      <c r="L417" s="9">
        <v>18000</v>
      </c>
      <c r="M417" s="10">
        <v>4</v>
      </c>
      <c r="N417" t="s">
        <v>23</v>
      </c>
    </row>
    <row r="418" spans="1:14">
      <c r="A418" t="s">
        <v>895</v>
      </c>
      <c r="B418" t="s">
        <v>896</v>
      </c>
      <c r="C418" t="s">
        <v>16</v>
      </c>
      <c r="D418" t="s">
        <v>74</v>
      </c>
      <c r="E418" t="s">
        <v>33</v>
      </c>
      <c r="F418" t="s">
        <v>34</v>
      </c>
      <c r="G418" t="s">
        <v>57</v>
      </c>
      <c r="H418" t="s">
        <v>46</v>
      </c>
      <c r="I418" s="8">
        <v>44898</v>
      </c>
      <c r="J418" s="8"/>
      <c r="K418" t="s">
        <v>22</v>
      </c>
      <c r="L418" s="9">
        <v>31300</v>
      </c>
      <c r="M418" s="10">
        <v>1</v>
      </c>
      <c r="N418" t="s">
        <v>23</v>
      </c>
    </row>
    <row r="419" spans="1:14">
      <c r="A419" t="s">
        <v>897</v>
      </c>
      <c r="B419" t="s">
        <v>898</v>
      </c>
      <c r="C419" t="s">
        <v>16</v>
      </c>
      <c r="D419" t="s">
        <v>32</v>
      </c>
      <c r="E419" t="s">
        <v>44</v>
      </c>
      <c r="F419" t="s">
        <v>56</v>
      </c>
      <c r="G419" t="s">
        <v>20</v>
      </c>
      <c r="H419" t="s">
        <v>21</v>
      </c>
      <c r="I419" s="8">
        <v>45180</v>
      </c>
      <c r="J419" s="8"/>
      <c r="K419" t="s">
        <v>22</v>
      </c>
      <c r="L419" s="9">
        <v>33500</v>
      </c>
      <c r="M419" s="10">
        <v>2</v>
      </c>
      <c r="N419" t="s">
        <v>23</v>
      </c>
    </row>
    <row r="420" spans="1:14">
      <c r="A420" t="s">
        <v>899</v>
      </c>
      <c r="B420" t="s">
        <v>900</v>
      </c>
      <c r="C420" t="s">
        <v>31</v>
      </c>
      <c r="D420" t="s">
        <v>49</v>
      </c>
      <c r="E420" t="s">
        <v>33</v>
      </c>
      <c r="F420" t="s">
        <v>97</v>
      </c>
      <c r="G420" t="s">
        <v>40</v>
      </c>
      <c r="H420" t="s">
        <v>21</v>
      </c>
      <c r="I420" s="8">
        <v>44892</v>
      </c>
      <c r="J420" s="8">
        <v>45403</v>
      </c>
      <c r="K420" t="s">
        <v>36</v>
      </c>
      <c r="L420" s="9">
        <v>29900</v>
      </c>
      <c r="M420" s="10">
        <v>5</v>
      </c>
      <c r="N420" t="s">
        <v>23</v>
      </c>
    </row>
    <row r="421" spans="1:14">
      <c r="A421" t="s">
        <v>901</v>
      </c>
      <c r="B421" t="s">
        <v>902</v>
      </c>
      <c r="C421" t="s">
        <v>31</v>
      </c>
      <c r="D421" t="s">
        <v>88</v>
      </c>
      <c r="E421" t="s">
        <v>64</v>
      </c>
      <c r="F421" t="s">
        <v>65</v>
      </c>
      <c r="G421" t="s">
        <v>35</v>
      </c>
      <c r="H421" t="s">
        <v>21</v>
      </c>
      <c r="I421" s="8">
        <v>43415</v>
      </c>
      <c r="J421" s="8">
        <v>43662</v>
      </c>
      <c r="K421" t="s">
        <v>36</v>
      </c>
      <c r="L421" s="9">
        <v>39700</v>
      </c>
      <c r="M421" s="10">
        <v>5</v>
      </c>
      <c r="N421" t="s">
        <v>23</v>
      </c>
    </row>
    <row r="422" spans="1:14">
      <c r="A422" t="s">
        <v>903</v>
      </c>
      <c r="B422" t="s">
        <v>904</v>
      </c>
      <c r="C422" t="s">
        <v>16</v>
      </c>
      <c r="D422" t="s">
        <v>49</v>
      </c>
      <c r="E422" t="s">
        <v>64</v>
      </c>
      <c r="F422" t="s">
        <v>119</v>
      </c>
      <c r="G422" t="s">
        <v>57</v>
      </c>
      <c r="H422" t="s">
        <v>21</v>
      </c>
      <c r="I422" s="8">
        <v>45094</v>
      </c>
      <c r="J422" s="8"/>
      <c r="K422" t="s">
        <v>22</v>
      </c>
      <c r="L422" s="9">
        <v>40800</v>
      </c>
      <c r="M422" s="10">
        <v>3</v>
      </c>
      <c r="N422" t="s">
        <v>23</v>
      </c>
    </row>
    <row r="423" spans="1:14">
      <c r="A423" t="s">
        <v>905</v>
      </c>
      <c r="B423" t="s">
        <v>906</v>
      </c>
      <c r="C423" t="s">
        <v>16</v>
      </c>
      <c r="D423" t="s">
        <v>32</v>
      </c>
      <c r="E423" t="s">
        <v>18</v>
      </c>
      <c r="F423" t="s">
        <v>39</v>
      </c>
      <c r="G423" t="s">
        <v>40</v>
      </c>
      <c r="H423" t="s">
        <v>21</v>
      </c>
      <c r="I423" s="8">
        <v>43563</v>
      </c>
      <c r="J423" s="8"/>
      <c r="K423" t="s">
        <v>22</v>
      </c>
      <c r="L423" s="9">
        <v>62800</v>
      </c>
      <c r="M423" s="10">
        <v>5</v>
      </c>
      <c r="N423" t="s">
        <v>23</v>
      </c>
    </row>
    <row r="424" spans="1:14">
      <c r="A424" t="s">
        <v>907</v>
      </c>
      <c r="B424" t="s">
        <v>908</v>
      </c>
      <c r="C424" t="s">
        <v>31</v>
      </c>
      <c r="D424" t="s">
        <v>32</v>
      </c>
      <c r="E424" t="s">
        <v>18</v>
      </c>
      <c r="F424" t="s">
        <v>89</v>
      </c>
      <c r="G424" t="s">
        <v>35</v>
      </c>
      <c r="H424" t="s">
        <v>21</v>
      </c>
      <c r="I424" s="8">
        <v>43892</v>
      </c>
      <c r="J424" s="8">
        <v>44264</v>
      </c>
      <c r="K424" t="s">
        <v>36</v>
      </c>
      <c r="L424" s="9">
        <v>52700</v>
      </c>
      <c r="M424" s="10">
        <v>3</v>
      </c>
      <c r="N424" t="s">
        <v>23</v>
      </c>
    </row>
    <row r="425" spans="1:14">
      <c r="A425" t="s">
        <v>909</v>
      </c>
      <c r="B425" t="s">
        <v>910</v>
      </c>
      <c r="C425" t="s">
        <v>31</v>
      </c>
      <c r="D425" t="s">
        <v>43</v>
      </c>
      <c r="E425" t="s">
        <v>44</v>
      </c>
      <c r="F425" t="s">
        <v>56</v>
      </c>
      <c r="G425" t="s">
        <v>20</v>
      </c>
      <c r="H425" t="s">
        <v>46</v>
      </c>
      <c r="I425" s="8">
        <v>44475</v>
      </c>
      <c r="J425" s="8"/>
      <c r="K425" t="s">
        <v>22</v>
      </c>
      <c r="L425" s="9">
        <v>29600</v>
      </c>
      <c r="M425" s="10">
        <v>4</v>
      </c>
      <c r="N425" t="s">
        <v>58</v>
      </c>
    </row>
    <row r="426" spans="1:14">
      <c r="A426" t="s">
        <v>911</v>
      </c>
      <c r="B426" t="s">
        <v>912</v>
      </c>
      <c r="C426" t="s">
        <v>16</v>
      </c>
      <c r="D426" t="s">
        <v>74</v>
      </c>
      <c r="E426" t="s">
        <v>64</v>
      </c>
      <c r="F426" t="s">
        <v>65</v>
      </c>
      <c r="G426" t="s">
        <v>40</v>
      </c>
      <c r="H426" t="s">
        <v>21</v>
      </c>
      <c r="I426" s="8">
        <v>43271</v>
      </c>
      <c r="J426" s="8"/>
      <c r="K426" t="s">
        <v>22</v>
      </c>
      <c r="L426" s="9">
        <v>29500</v>
      </c>
      <c r="M426" s="10">
        <v>4</v>
      </c>
      <c r="N426" t="s">
        <v>23</v>
      </c>
    </row>
    <row r="427" spans="1:14">
      <c r="A427" t="s">
        <v>913</v>
      </c>
      <c r="B427" t="s">
        <v>914</v>
      </c>
      <c r="C427" t="s">
        <v>31</v>
      </c>
      <c r="D427" t="s">
        <v>26</v>
      </c>
      <c r="E427" t="s">
        <v>33</v>
      </c>
      <c r="F427" t="s">
        <v>148</v>
      </c>
      <c r="G427" t="s">
        <v>40</v>
      </c>
      <c r="H427" t="s">
        <v>21</v>
      </c>
      <c r="I427" s="8">
        <v>43984</v>
      </c>
      <c r="J427" s="8"/>
      <c r="K427" t="s">
        <v>22</v>
      </c>
      <c r="L427" s="9">
        <v>48600</v>
      </c>
      <c r="M427" s="10">
        <v>2</v>
      </c>
      <c r="N427" t="s">
        <v>23</v>
      </c>
    </row>
    <row r="428" spans="1:14">
      <c r="A428" t="s">
        <v>915</v>
      </c>
      <c r="B428" t="s">
        <v>916</v>
      </c>
      <c r="C428" t="s">
        <v>31</v>
      </c>
      <c r="D428" t="s">
        <v>43</v>
      </c>
      <c r="E428" t="s">
        <v>52</v>
      </c>
      <c r="F428" t="s">
        <v>179</v>
      </c>
      <c r="G428" t="s">
        <v>40</v>
      </c>
      <c r="H428" t="s">
        <v>21</v>
      </c>
      <c r="I428" s="8">
        <v>44310</v>
      </c>
      <c r="J428" s="8"/>
      <c r="K428" t="s">
        <v>22</v>
      </c>
      <c r="L428" s="9">
        <v>45800</v>
      </c>
      <c r="M428" s="10">
        <v>4</v>
      </c>
      <c r="N428" t="s">
        <v>23</v>
      </c>
    </row>
    <row r="429" spans="1:14">
      <c r="A429" t="s">
        <v>917</v>
      </c>
      <c r="B429" t="s">
        <v>918</v>
      </c>
      <c r="C429" t="s">
        <v>31</v>
      </c>
      <c r="D429" t="s">
        <v>74</v>
      </c>
      <c r="E429" t="s">
        <v>18</v>
      </c>
      <c r="F429" t="s">
        <v>89</v>
      </c>
      <c r="G429" t="s">
        <v>20</v>
      </c>
      <c r="H429" t="s">
        <v>21</v>
      </c>
      <c r="I429" s="8">
        <v>44116</v>
      </c>
      <c r="J429" s="8">
        <v>45094</v>
      </c>
      <c r="K429" t="s">
        <v>36</v>
      </c>
      <c r="L429" s="9">
        <v>69000</v>
      </c>
      <c r="M429" s="10">
        <v>4</v>
      </c>
      <c r="N429" t="s">
        <v>23</v>
      </c>
    </row>
    <row r="430" spans="1:14">
      <c r="A430" t="s">
        <v>919</v>
      </c>
      <c r="B430" t="s">
        <v>920</v>
      </c>
      <c r="C430" t="s">
        <v>31</v>
      </c>
      <c r="D430" t="s">
        <v>114</v>
      </c>
      <c r="E430" t="s">
        <v>18</v>
      </c>
      <c r="F430" t="s">
        <v>89</v>
      </c>
      <c r="G430" t="s">
        <v>20</v>
      </c>
      <c r="H430" t="s">
        <v>21</v>
      </c>
      <c r="I430" s="8">
        <v>45684</v>
      </c>
      <c r="J430" s="8"/>
      <c r="K430" t="s">
        <v>22</v>
      </c>
      <c r="L430" s="9">
        <v>49600</v>
      </c>
      <c r="M430" s="10">
        <v>3</v>
      </c>
      <c r="N430" t="s">
        <v>23</v>
      </c>
    </row>
    <row r="431" spans="1:14">
      <c r="A431" t="s">
        <v>921</v>
      </c>
      <c r="B431" t="s">
        <v>922</v>
      </c>
      <c r="C431" t="s">
        <v>31</v>
      </c>
      <c r="D431" t="s">
        <v>43</v>
      </c>
      <c r="E431" t="s">
        <v>70</v>
      </c>
      <c r="F431" t="s">
        <v>71</v>
      </c>
      <c r="G431" t="s">
        <v>35</v>
      </c>
      <c r="H431" t="s">
        <v>21</v>
      </c>
      <c r="I431" s="8">
        <v>43107</v>
      </c>
      <c r="J431" s="8"/>
      <c r="K431" t="s">
        <v>22</v>
      </c>
      <c r="L431" s="9">
        <v>34300</v>
      </c>
      <c r="M431" s="10">
        <v>5</v>
      </c>
      <c r="N431" t="s">
        <v>23</v>
      </c>
    </row>
    <row r="432" spans="1:14">
      <c r="A432" t="s">
        <v>923</v>
      </c>
      <c r="B432" t="s">
        <v>924</v>
      </c>
      <c r="C432" t="s">
        <v>16</v>
      </c>
      <c r="D432" t="s">
        <v>88</v>
      </c>
      <c r="E432" t="s">
        <v>18</v>
      </c>
      <c r="F432" t="s">
        <v>89</v>
      </c>
      <c r="G432" t="s">
        <v>35</v>
      </c>
      <c r="H432" t="s">
        <v>21</v>
      </c>
      <c r="I432" s="8">
        <v>45112</v>
      </c>
      <c r="J432" s="8"/>
      <c r="K432" t="s">
        <v>22</v>
      </c>
      <c r="L432" s="9">
        <v>60500</v>
      </c>
      <c r="M432" s="10">
        <v>5</v>
      </c>
      <c r="N432" t="s">
        <v>58</v>
      </c>
    </row>
    <row r="433" spans="1:14">
      <c r="A433" t="s">
        <v>925</v>
      </c>
      <c r="B433" t="s">
        <v>926</v>
      </c>
      <c r="C433" t="s">
        <v>31</v>
      </c>
      <c r="D433" t="s">
        <v>43</v>
      </c>
      <c r="E433" t="s">
        <v>44</v>
      </c>
      <c r="F433" t="s">
        <v>45</v>
      </c>
      <c r="G433" t="s">
        <v>35</v>
      </c>
      <c r="H433" t="s">
        <v>21</v>
      </c>
      <c r="I433" s="8">
        <v>43447</v>
      </c>
      <c r="J433" s="8"/>
      <c r="K433" t="s">
        <v>22</v>
      </c>
      <c r="L433" s="9">
        <v>35500</v>
      </c>
      <c r="M433" s="10">
        <v>1</v>
      </c>
      <c r="N433" t="s">
        <v>23</v>
      </c>
    </row>
    <row r="434" spans="1:14">
      <c r="A434" t="s">
        <v>927</v>
      </c>
      <c r="B434" t="s">
        <v>928</v>
      </c>
      <c r="C434" t="s">
        <v>16</v>
      </c>
      <c r="D434" t="s">
        <v>49</v>
      </c>
      <c r="E434" t="s">
        <v>44</v>
      </c>
      <c r="F434" t="s">
        <v>45</v>
      </c>
      <c r="G434" t="s">
        <v>35</v>
      </c>
      <c r="H434" t="s">
        <v>21</v>
      </c>
      <c r="I434" s="8">
        <v>43739</v>
      </c>
      <c r="J434" s="8"/>
      <c r="K434" t="s">
        <v>22</v>
      </c>
      <c r="L434" s="9">
        <v>42300</v>
      </c>
      <c r="M434" s="10">
        <v>4</v>
      </c>
      <c r="N434" t="s">
        <v>58</v>
      </c>
    </row>
    <row r="435" spans="1:14">
      <c r="A435" t="s">
        <v>929</v>
      </c>
      <c r="B435" t="s">
        <v>930</v>
      </c>
      <c r="C435" t="s">
        <v>31</v>
      </c>
      <c r="D435" t="s">
        <v>114</v>
      </c>
      <c r="E435" t="s">
        <v>44</v>
      </c>
      <c r="F435" t="s">
        <v>45</v>
      </c>
      <c r="G435" t="s">
        <v>35</v>
      </c>
      <c r="H435" t="s">
        <v>21</v>
      </c>
      <c r="I435" s="8">
        <v>45591</v>
      </c>
      <c r="J435" s="8"/>
      <c r="K435" t="s">
        <v>22</v>
      </c>
      <c r="L435" s="9">
        <v>30300</v>
      </c>
      <c r="M435" s="10">
        <v>5</v>
      </c>
      <c r="N435" t="s">
        <v>58</v>
      </c>
    </row>
    <row r="436" spans="1:14">
      <c r="A436" t="s">
        <v>931</v>
      </c>
      <c r="B436" t="s">
        <v>932</v>
      </c>
      <c r="C436" t="s">
        <v>31</v>
      </c>
      <c r="D436" t="s">
        <v>17</v>
      </c>
      <c r="E436" t="s">
        <v>70</v>
      </c>
      <c r="F436" t="s">
        <v>102</v>
      </c>
      <c r="G436" t="s">
        <v>20</v>
      </c>
      <c r="H436" t="s">
        <v>21</v>
      </c>
      <c r="I436" s="8">
        <v>45192</v>
      </c>
      <c r="J436" s="8"/>
      <c r="K436" t="s">
        <v>22</v>
      </c>
      <c r="L436" s="9">
        <v>32900</v>
      </c>
      <c r="M436" s="10">
        <v>5</v>
      </c>
      <c r="N436" t="s">
        <v>23</v>
      </c>
    </row>
    <row r="437" spans="1:14">
      <c r="A437" t="s">
        <v>933</v>
      </c>
      <c r="B437" t="s">
        <v>934</v>
      </c>
      <c r="C437" t="s">
        <v>16</v>
      </c>
      <c r="D437" t="s">
        <v>43</v>
      </c>
      <c r="E437" t="s">
        <v>64</v>
      </c>
      <c r="F437" t="s">
        <v>92</v>
      </c>
      <c r="G437" t="s">
        <v>40</v>
      </c>
      <c r="H437" t="s">
        <v>21</v>
      </c>
      <c r="I437" s="8">
        <v>45024</v>
      </c>
      <c r="J437" s="8"/>
      <c r="K437" t="s">
        <v>22</v>
      </c>
      <c r="L437" s="9">
        <v>24600</v>
      </c>
      <c r="M437" s="10">
        <v>3</v>
      </c>
      <c r="N437" t="s">
        <v>23</v>
      </c>
    </row>
    <row r="438" spans="1:14">
      <c r="A438" t="s">
        <v>935</v>
      </c>
      <c r="B438" t="s">
        <v>936</v>
      </c>
      <c r="C438" t="s">
        <v>16</v>
      </c>
      <c r="D438" t="s">
        <v>88</v>
      </c>
      <c r="E438" t="s">
        <v>33</v>
      </c>
      <c r="F438" t="s">
        <v>97</v>
      </c>
      <c r="G438" t="s">
        <v>35</v>
      </c>
      <c r="H438" t="s">
        <v>21</v>
      </c>
      <c r="I438" s="8">
        <v>44263</v>
      </c>
      <c r="J438" s="8"/>
      <c r="K438" t="s">
        <v>22</v>
      </c>
      <c r="L438" s="9">
        <v>39400</v>
      </c>
      <c r="M438" s="10">
        <v>3</v>
      </c>
      <c r="N438" t="s">
        <v>23</v>
      </c>
    </row>
    <row r="439" spans="1:14">
      <c r="A439" t="s">
        <v>937</v>
      </c>
      <c r="B439" t="s">
        <v>938</v>
      </c>
      <c r="C439" t="s">
        <v>16</v>
      </c>
      <c r="D439" t="s">
        <v>17</v>
      </c>
      <c r="E439" t="s">
        <v>64</v>
      </c>
      <c r="F439" t="s">
        <v>65</v>
      </c>
      <c r="G439" t="s">
        <v>40</v>
      </c>
      <c r="H439" t="s">
        <v>21</v>
      </c>
      <c r="I439" s="8">
        <v>45516</v>
      </c>
      <c r="J439" s="8"/>
      <c r="K439" t="s">
        <v>22</v>
      </c>
      <c r="L439" s="9">
        <v>50000</v>
      </c>
      <c r="M439" s="10">
        <v>3</v>
      </c>
      <c r="N439" t="s">
        <v>23</v>
      </c>
    </row>
    <row r="440" spans="1:14">
      <c r="A440" t="s">
        <v>939</v>
      </c>
      <c r="B440" t="s">
        <v>940</v>
      </c>
      <c r="C440" t="s">
        <v>31</v>
      </c>
      <c r="D440" t="s">
        <v>49</v>
      </c>
      <c r="E440" t="s">
        <v>70</v>
      </c>
      <c r="F440" t="s">
        <v>102</v>
      </c>
      <c r="G440" t="s">
        <v>57</v>
      </c>
      <c r="H440" t="s">
        <v>21</v>
      </c>
      <c r="I440" s="8">
        <v>43678</v>
      </c>
      <c r="J440" s="8"/>
      <c r="K440" t="s">
        <v>22</v>
      </c>
      <c r="L440" s="9">
        <v>26000</v>
      </c>
      <c r="M440" s="10">
        <v>5</v>
      </c>
      <c r="N440" t="s">
        <v>23</v>
      </c>
    </row>
    <row r="441" spans="1:14">
      <c r="A441" t="s">
        <v>941</v>
      </c>
      <c r="B441" t="s">
        <v>942</v>
      </c>
      <c r="C441" t="s">
        <v>31</v>
      </c>
      <c r="D441" t="s">
        <v>88</v>
      </c>
      <c r="E441" t="s">
        <v>18</v>
      </c>
      <c r="F441" t="s">
        <v>39</v>
      </c>
      <c r="G441" t="s">
        <v>20</v>
      </c>
      <c r="H441" t="s">
        <v>21</v>
      </c>
      <c r="I441" s="8">
        <v>45616</v>
      </c>
      <c r="J441" s="8"/>
      <c r="K441" t="s">
        <v>22</v>
      </c>
      <c r="L441" s="9">
        <v>51300</v>
      </c>
      <c r="M441" s="10">
        <v>4</v>
      </c>
      <c r="N441" t="s">
        <v>23</v>
      </c>
    </row>
    <row r="442" spans="1:14">
      <c r="A442" t="s">
        <v>943</v>
      </c>
      <c r="B442" t="s">
        <v>944</v>
      </c>
      <c r="C442" t="s">
        <v>31</v>
      </c>
      <c r="D442" t="s">
        <v>49</v>
      </c>
      <c r="E442" t="s">
        <v>70</v>
      </c>
      <c r="F442" t="s">
        <v>102</v>
      </c>
      <c r="G442" t="s">
        <v>57</v>
      </c>
      <c r="H442" t="s">
        <v>21</v>
      </c>
      <c r="I442" s="8">
        <v>44192</v>
      </c>
      <c r="J442" s="8">
        <v>44776</v>
      </c>
      <c r="K442" t="s">
        <v>36</v>
      </c>
      <c r="L442" s="9">
        <v>31500</v>
      </c>
      <c r="M442" s="10">
        <v>5</v>
      </c>
      <c r="N442" t="s">
        <v>58</v>
      </c>
    </row>
    <row r="443" spans="1:14">
      <c r="A443" t="s">
        <v>945</v>
      </c>
      <c r="B443" t="s">
        <v>946</v>
      </c>
      <c r="C443" t="s">
        <v>31</v>
      </c>
      <c r="D443" t="s">
        <v>43</v>
      </c>
      <c r="E443" t="s">
        <v>64</v>
      </c>
      <c r="F443" t="s">
        <v>92</v>
      </c>
      <c r="G443" t="s">
        <v>40</v>
      </c>
      <c r="H443" t="s">
        <v>46</v>
      </c>
      <c r="I443" s="8">
        <v>43772</v>
      </c>
      <c r="J443" s="8"/>
      <c r="K443" t="s">
        <v>22</v>
      </c>
      <c r="L443" s="9">
        <v>32700</v>
      </c>
      <c r="M443" s="10">
        <v>3</v>
      </c>
      <c r="N443" t="s">
        <v>23</v>
      </c>
    </row>
    <row r="444" spans="1:14">
      <c r="A444" t="s">
        <v>947</v>
      </c>
      <c r="B444" t="s">
        <v>948</v>
      </c>
      <c r="C444" t="s">
        <v>31</v>
      </c>
      <c r="D444" t="s">
        <v>74</v>
      </c>
      <c r="E444" t="s">
        <v>44</v>
      </c>
      <c r="F444" t="s">
        <v>45</v>
      </c>
      <c r="G444" t="s">
        <v>20</v>
      </c>
      <c r="H444" t="s">
        <v>21</v>
      </c>
      <c r="I444" s="8">
        <v>44514</v>
      </c>
      <c r="J444" s="8">
        <v>45498</v>
      </c>
      <c r="K444" t="s">
        <v>36</v>
      </c>
      <c r="L444" s="9">
        <v>43000</v>
      </c>
      <c r="M444" s="10">
        <v>5</v>
      </c>
      <c r="N444" t="s">
        <v>23</v>
      </c>
    </row>
    <row r="445" spans="1:14">
      <c r="A445" t="s">
        <v>949</v>
      </c>
      <c r="B445" t="s">
        <v>950</v>
      </c>
      <c r="C445" t="s">
        <v>31</v>
      </c>
      <c r="D445" t="s">
        <v>43</v>
      </c>
      <c r="E445" t="s">
        <v>33</v>
      </c>
      <c r="F445" t="s">
        <v>34</v>
      </c>
      <c r="G445" t="s">
        <v>35</v>
      </c>
      <c r="H445" t="s">
        <v>21</v>
      </c>
      <c r="I445" s="8">
        <v>44342</v>
      </c>
      <c r="J445" s="8"/>
      <c r="K445" t="s">
        <v>22</v>
      </c>
      <c r="L445" s="9">
        <v>36400</v>
      </c>
      <c r="M445" s="10">
        <v>4</v>
      </c>
      <c r="N445" t="s">
        <v>58</v>
      </c>
    </row>
    <row r="446" spans="1:14">
      <c r="A446" t="s">
        <v>951</v>
      </c>
      <c r="B446" t="s">
        <v>952</v>
      </c>
      <c r="C446" t="s">
        <v>31</v>
      </c>
      <c r="D446" t="s">
        <v>26</v>
      </c>
      <c r="E446" t="s">
        <v>18</v>
      </c>
      <c r="F446" t="s">
        <v>39</v>
      </c>
      <c r="G446" t="s">
        <v>57</v>
      </c>
      <c r="H446" t="s">
        <v>21</v>
      </c>
      <c r="I446" s="8">
        <v>44667</v>
      </c>
      <c r="J446" s="8">
        <v>45795</v>
      </c>
      <c r="K446" t="s">
        <v>36</v>
      </c>
      <c r="L446" s="9">
        <v>61800</v>
      </c>
      <c r="M446" s="10">
        <v>3</v>
      </c>
      <c r="N446" t="s">
        <v>58</v>
      </c>
    </row>
    <row r="447" spans="1:14">
      <c r="A447" t="s">
        <v>953</v>
      </c>
      <c r="B447" t="s">
        <v>954</v>
      </c>
      <c r="C447" t="s">
        <v>16</v>
      </c>
      <c r="D447" t="s">
        <v>74</v>
      </c>
      <c r="E447" t="s">
        <v>64</v>
      </c>
      <c r="F447" t="s">
        <v>92</v>
      </c>
      <c r="G447" t="s">
        <v>57</v>
      </c>
      <c r="H447" t="s">
        <v>198</v>
      </c>
      <c r="I447" s="8">
        <v>45493</v>
      </c>
      <c r="J447" s="8"/>
      <c r="K447" t="s">
        <v>22</v>
      </c>
      <c r="L447" s="9">
        <v>38400</v>
      </c>
      <c r="M447" s="10">
        <v>5</v>
      </c>
      <c r="N447" t="s">
        <v>23</v>
      </c>
    </row>
    <row r="448" spans="1:14">
      <c r="A448" t="s">
        <v>955</v>
      </c>
      <c r="B448" t="s">
        <v>956</v>
      </c>
      <c r="C448" t="s">
        <v>16</v>
      </c>
      <c r="D448" t="s">
        <v>17</v>
      </c>
      <c r="E448" t="s">
        <v>27</v>
      </c>
      <c r="F448" t="s">
        <v>61</v>
      </c>
      <c r="G448" t="s">
        <v>40</v>
      </c>
      <c r="H448" t="s">
        <v>21</v>
      </c>
      <c r="I448" s="8">
        <v>44401</v>
      </c>
      <c r="J448" s="8"/>
      <c r="K448" t="s">
        <v>22</v>
      </c>
      <c r="L448" s="9">
        <v>51200</v>
      </c>
      <c r="M448" s="10">
        <v>2</v>
      </c>
      <c r="N448" t="s">
        <v>23</v>
      </c>
    </row>
    <row r="449" spans="1:14">
      <c r="A449" t="s">
        <v>957</v>
      </c>
      <c r="B449" t="s">
        <v>958</v>
      </c>
      <c r="C449" t="s">
        <v>16</v>
      </c>
      <c r="D449" t="s">
        <v>88</v>
      </c>
      <c r="E449" t="s">
        <v>18</v>
      </c>
      <c r="F449" t="s">
        <v>89</v>
      </c>
      <c r="G449" t="s">
        <v>35</v>
      </c>
      <c r="H449" t="s">
        <v>21</v>
      </c>
      <c r="I449" s="8">
        <v>44541</v>
      </c>
      <c r="J449" s="8"/>
      <c r="K449" t="s">
        <v>22</v>
      </c>
      <c r="L449" s="9">
        <v>55600</v>
      </c>
      <c r="M449" s="10">
        <v>4</v>
      </c>
      <c r="N449" t="s">
        <v>23</v>
      </c>
    </row>
    <row r="450" spans="1:14">
      <c r="A450" t="s">
        <v>959</v>
      </c>
      <c r="B450" t="s">
        <v>960</v>
      </c>
      <c r="C450" t="s">
        <v>31</v>
      </c>
      <c r="D450" t="s">
        <v>17</v>
      </c>
      <c r="E450" t="s">
        <v>64</v>
      </c>
      <c r="F450" t="s">
        <v>92</v>
      </c>
      <c r="G450" t="s">
        <v>20</v>
      </c>
      <c r="H450" t="s">
        <v>21</v>
      </c>
      <c r="I450" s="8">
        <v>44266</v>
      </c>
      <c r="J450" s="8">
        <v>44544</v>
      </c>
      <c r="K450" t="s">
        <v>36</v>
      </c>
      <c r="L450" s="9">
        <v>28200</v>
      </c>
      <c r="M450" s="10">
        <v>3</v>
      </c>
      <c r="N450" t="s">
        <v>58</v>
      </c>
    </row>
    <row r="451" spans="1:14">
      <c r="A451" t="s">
        <v>961</v>
      </c>
      <c r="B451" t="s">
        <v>962</v>
      </c>
      <c r="C451" t="s">
        <v>31</v>
      </c>
      <c r="D451" t="s">
        <v>26</v>
      </c>
      <c r="E451" t="s">
        <v>27</v>
      </c>
      <c r="F451" t="s">
        <v>61</v>
      </c>
      <c r="G451" t="s">
        <v>40</v>
      </c>
      <c r="H451" t="s">
        <v>21</v>
      </c>
      <c r="I451" s="8">
        <v>45070</v>
      </c>
      <c r="J451" s="8"/>
      <c r="K451" t="s">
        <v>22</v>
      </c>
      <c r="L451" s="9">
        <v>39500</v>
      </c>
      <c r="M451" s="10">
        <v>5</v>
      </c>
      <c r="N451" t="s">
        <v>58</v>
      </c>
    </row>
    <row r="452" spans="1:14">
      <c r="A452" t="s">
        <v>963</v>
      </c>
      <c r="B452" t="s">
        <v>964</v>
      </c>
      <c r="C452" t="s">
        <v>16</v>
      </c>
      <c r="D452" t="s">
        <v>26</v>
      </c>
      <c r="E452" t="s">
        <v>70</v>
      </c>
      <c r="F452" t="s">
        <v>71</v>
      </c>
      <c r="G452" t="s">
        <v>57</v>
      </c>
      <c r="H452" t="s">
        <v>21</v>
      </c>
      <c r="I452" s="8">
        <v>43597</v>
      </c>
      <c r="J452" s="8"/>
      <c r="K452" t="s">
        <v>22</v>
      </c>
      <c r="L452" s="9">
        <v>23500</v>
      </c>
      <c r="M452" s="10">
        <v>3</v>
      </c>
      <c r="N452" t="s">
        <v>23</v>
      </c>
    </row>
    <row r="453" spans="1:14">
      <c r="A453" t="s">
        <v>965</v>
      </c>
      <c r="B453" t="s">
        <v>966</v>
      </c>
      <c r="C453" t="s">
        <v>16</v>
      </c>
      <c r="D453" t="s">
        <v>32</v>
      </c>
      <c r="E453" t="s">
        <v>64</v>
      </c>
      <c r="F453" t="s">
        <v>65</v>
      </c>
      <c r="G453" t="s">
        <v>57</v>
      </c>
      <c r="H453" t="s">
        <v>21</v>
      </c>
      <c r="I453" s="8">
        <v>43724</v>
      </c>
      <c r="J453" s="8"/>
      <c r="K453" t="s">
        <v>22</v>
      </c>
      <c r="L453" s="9">
        <v>40200</v>
      </c>
      <c r="M453" s="10">
        <v>4</v>
      </c>
      <c r="N453" t="s">
        <v>23</v>
      </c>
    </row>
    <row r="454" spans="1:14">
      <c r="A454" t="s">
        <v>967</v>
      </c>
      <c r="B454" t="s">
        <v>968</v>
      </c>
      <c r="C454" t="s">
        <v>31</v>
      </c>
      <c r="D454" t="s">
        <v>114</v>
      </c>
      <c r="E454" t="s">
        <v>52</v>
      </c>
      <c r="F454" t="s">
        <v>126</v>
      </c>
      <c r="G454" t="s">
        <v>40</v>
      </c>
      <c r="H454" t="s">
        <v>21</v>
      </c>
      <c r="I454" s="8">
        <v>43300</v>
      </c>
      <c r="J454" s="8"/>
      <c r="K454" t="s">
        <v>22</v>
      </c>
      <c r="L454" s="9">
        <v>36100</v>
      </c>
      <c r="M454" s="10">
        <v>3</v>
      </c>
      <c r="N454" t="s">
        <v>23</v>
      </c>
    </row>
    <row r="455" spans="1:14">
      <c r="A455" t="s">
        <v>969</v>
      </c>
      <c r="B455" t="s">
        <v>970</v>
      </c>
      <c r="C455" t="s">
        <v>31</v>
      </c>
      <c r="D455" t="s">
        <v>43</v>
      </c>
      <c r="E455" t="s">
        <v>70</v>
      </c>
      <c r="F455" t="s">
        <v>105</v>
      </c>
      <c r="G455" t="s">
        <v>35</v>
      </c>
      <c r="H455" t="s">
        <v>46</v>
      </c>
      <c r="I455" s="8">
        <v>44371</v>
      </c>
      <c r="J455" s="8"/>
      <c r="K455" t="s">
        <v>22</v>
      </c>
      <c r="L455" s="9">
        <v>42300</v>
      </c>
      <c r="M455" s="10">
        <v>1</v>
      </c>
      <c r="N455" t="s">
        <v>23</v>
      </c>
    </row>
    <row r="456" spans="1:14">
      <c r="A456" t="s">
        <v>971</v>
      </c>
      <c r="B456" t="s">
        <v>972</v>
      </c>
      <c r="C456" t="s">
        <v>16</v>
      </c>
      <c r="D456" t="s">
        <v>43</v>
      </c>
      <c r="E456" t="s">
        <v>64</v>
      </c>
      <c r="F456" t="s">
        <v>65</v>
      </c>
      <c r="G456" t="s">
        <v>20</v>
      </c>
      <c r="H456" t="s">
        <v>21</v>
      </c>
      <c r="I456" s="8">
        <v>44244</v>
      </c>
      <c r="J456" s="8">
        <v>45303</v>
      </c>
      <c r="K456" t="s">
        <v>36</v>
      </c>
      <c r="L456" s="9">
        <v>41700</v>
      </c>
      <c r="M456" s="10">
        <v>5</v>
      </c>
      <c r="N456" t="s">
        <v>23</v>
      </c>
    </row>
    <row r="457" spans="1:14">
      <c r="A457" t="s">
        <v>973</v>
      </c>
      <c r="B457" t="s">
        <v>974</v>
      </c>
      <c r="C457" t="s">
        <v>31</v>
      </c>
      <c r="D457" t="s">
        <v>49</v>
      </c>
      <c r="E457" t="s">
        <v>27</v>
      </c>
      <c r="F457" t="s">
        <v>28</v>
      </c>
      <c r="G457" t="s">
        <v>57</v>
      </c>
      <c r="H457" t="s">
        <v>46</v>
      </c>
      <c r="I457" s="8">
        <v>45737</v>
      </c>
      <c r="J457" s="8"/>
      <c r="K457" t="s">
        <v>22</v>
      </c>
      <c r="L457" s="9">
        <v>34300</v>
      </c>
      <c r="M457" s="10">
        <v>2</v>
      </c>
      <c r="N457" t="s">
        <v>23</v>
      </c>
    </row>
    <row r="458" spans="1:14">
      <c r="A458" t="s">
        <v>975</v>
      </c>
      <c r="B458" t="s">
        <v>976</v>
      </c>
      <c r="C458" t="s">
        <v>16</v>
      </c>
      <c r="D458" t="s">
        <v>88</v>
      </c>
      <c r="E458" t="s">
        <v>70</v>
      </c>
      <c r="F458" t="s">
        <v>102</v>
      </c>
      <c r="G458" t="s">
        <v>20</v>
      </c>
      <c r="H458" t="s">
        <v>21</v>
      </c>
      <c r="I458" s="8">
        <v>44587</v>
      </c>
      <c r="J458" s="8">
        <v>44876</v>
      </c>
      <c r="K458" t="s">
        <v>36</v>
      </c>
      <c r="L458" s="9">
        <v>27700</v>
      </c>
      <c r="M458" s="10">
        <v>3</v>
      </c>
      <c r="N458" t="s">
        <v>23</v>
      </c>
    </row>
    <row r="459" spans="1:14">
      <c r="A459" t="s">
        <v>977</v>
      </c>
      <c r="B459" t="s">
        <v>978</v>
      </c>
      <c r="C459" t="s">
        <v>16</v>
      </c>
      <c r="D459" t="s">
        <v>114</v>
      </c>
      <c r="E459" t="s">
        <v>44</v>
      </c>
      <c r="F459" t="s">
        <v>45</v>
      </c>
      <c r="G459" t="s">
        <v>20</v>
      </c>
      <c r="H459" t="s">
        <v>21</v>
      </c>
      <c r="I459" s="8">
        <v>43139</v>
      </c>
      <c r="J459" s="8">
        <v>43571</v>
      </c>
      <c r="K459" t="s">
        <v>36</v>
      </c>
      <c r="L459" s="9">
        <v>49700</v>
      </c>
      <c r="M459" s="10">
        <v>4</v>
      </c>
      <c r="N459" t="s">
        <v>58</v>
      </c>
    </row>
    <row r="460" spans="1:14">
      <c r="A460" t="s">
        <v>979</v>
      </c>
      <c r="B460" t="s">
        <v>980</v>
      </c>
      <c r="C460" t="s">
        <v>16</v>
      </c>
      <c r="D460" t="s">
        <v>26</v>
      </c>
      <c r="E460" t="s">
        <v>64</v>
      </c>
      <c r="F460" t="s">
        <v>92</v>
      </c>
      <c r="G460" t="s">
        <v>20</v>
      </c>
      <c r="H460" t="s">
        <v>21</v>
      </c>
      <c r="I460" s="8">
        <v>44512</v>
      </c>
      <c r="J460" s="8">
        <v>45560</v>
      </c>
      <c r="K460" t="s">
        <v>36</v>
      </c>
      <c r="L460" s="9">
        <v>45000</v>
      </c>
      <c r="M460" s="10">
        <v>3</v>
      </c>
      <c r="N460" t="s">
        <v>58</v>
      </c>
    </row>
    <row r="461" spans="1:14">
      <c r="A461" t="s">
        <v>981</v>
      </c>
      <c r="B461" t="s">
        <v>982</v>
      </c>
      <c r="C461" t="s">
        <v>16</v>
      </c>
      <c r="D461" t="s">
        <v>43</v>
      </c>
      <c r="E461" t="s">
        <v>70</v>
      </c>
      <c r="F461" t="s">
        <v>105</v>
      </c>
      <c r="G461" t="s">
        <v>35</v>
      </c>
      <c r="H461" t="s">
        <v>46</v>
      </c>
      <c r="I461" s="8">
        <v>44058</v>
      </c>
      <c r="J461" s="8"/>
      <c r="K461" t="s">
        <v>22</v>
      </c>
      <c r="L461" s="9">
        <v>47100</v>
      </c>
      <c r="M461" s="10">
        <v>5</v>
      </c>
      <c r="N461" t="s">
        <v>23</v>
      </c>
    </row>
    <row r="462" spans="1:14">
      <c r="A462" t="s">
        <v>983</v>
      </c>
      <c r="B462" t="s">
        <v>984</v>
      </c>
      <c r="C462" t="s">
        <v>31</v>
      </c>
      <c r="D462" t="s">
        <v>114</v>
      </c>
      <c r="E462" t="s">
        <v>44</v>
      </c>
      <c r="F462" t="s">
        <v>45</v>
      </c>
      <c r="G462" t="s">
        <v>20</v>
      </c>
      <c r="H462" t="s">
        <v>21</v>
      </c>
      <c r="I462" s="8">
        <v>43590</v>
      </c>
      <c r="J462" s="8"/>
      <c r="K462" t="s">
        <v>22</v>
      </c>
      <c r="L462" s="9">
        <v>46000</v>
      </c>
      <c r="M462" s="10">
        <v>3</v>
      </c>
      <c r="N462" t="s">
        <v>23</v>
      </c>
    </row>
    <row r="463" spans="1:14">
      <c r="A463" t="s">
        <v>985</v>
      </c>
      <c r="B463" t="s">
        <v>986</v>
      </c>
      <c r="C463" t="s">
        <v>31</v>
      </c>
      <c r="D463" t="s">
        <v>32</v>
      </c>
      <c r="E463" t="s">
        <v>18</v>
      </c>
      <c r="F463" t="s">
        <v>89</v>
      </c>
      <c r="G463" t="s">
        <v>57</v>
      </c>
      <c r="H463" t="s">
        <v>21</v>
      </c>
      <c r="I463" s="8">
        <v>45635</v>
      </c>
      <c r="J463" s="8"/>
      <c r="K463" t="s">
        <v>22</v>
      </c>
      <c r="L463" s="9">
        <v>50500</v>
      </c>
      <c r="M463" s="10">
        <v>4</v>
      </c>
      <c r="N463" t="s">
        <v>23</v>
      </c>
    </row>
    <row r="464" spans="1:14">
      <c r="A464" t="s">
        <v>987</v>
      </c>
      <c r="B464" t="s">
        <v>988</v>
      </c>
      <c r="C464" t="s">
        <v>31</v>
      </c>
      <c r="D464" t="s">
        <v>88</v>
      </c>
      <c r="E464" t="s">
        <v>44</v>
      </c>
      <c r="F464" t="s">
        <v>56</v>
      </c>
      <c r="G464" t="s">
        <v>40</v>
      </c>
      <c r="H464" t="s">
        <v>21</v>
      </c>
      <c r="I464" s="8">
        <v>45942</v>
      </c>
      <c r="J464" s="8"/>
      <c r="K464" t="s">
        <v>22</v>
      </c>
      <c r="L464" s="9">
        <v>29900</v>
      </c>
      <c r="M464" s="10">
        <v>5</v>
      </c>
      <c r="N464" t="s">
        <v>58</v>
      </c>
    </row>
    <row r="465" spans="1:14">
      <c r="A465" t="s">
        <v>989</v>
      </c>
      <c r="B465" t="s">
        <v>990</v>
      </c>
      <c r="C465" t="s">
        <v>31</v>
      </c>
      <c r="D465" t="s">
        <v>32</v>
      </c>
      <c r="E465" t="s">
        <v>18</v>
      </c>
      <c r="F465" t="s">
        <v>19</v>
      </c>
      <c r="G465" t="s">
        <v>35</v>
      </c>
      <c r="H465" t="s">
        <v>21</v>
      </c>
      <c r="I465" s="8">
        <v>43811</v>
      </c>
      <c r="J465" s="8"/>
      <c r="K465" t="s">
        <v>22</v>
      </c>
      <c r="L465" s="9">
        <v>57300</v>
      </c>
      <c r="M465" s="10">
        <v>5</v>
      </c>
      <c r="N465" t="s">
        <v>23</v>
      </c>
    </row>
    <row r="466" spans="1:14">
      <c r="A466" t="s">
        <v>991</v>
      </c>
      <c r="B466" t="s">
        <v>992</v>
      </c>
      <c r="C466" t="s">
        <v>16</v>
      </c>
      <c r="D466" t="s">
        <v>43</v>
      </c>
      <c r="E466" t="s">
        <v>33</v>
      </c>
      <c r="F466" t="s">
        <v>34</v>
      </c>
      <c r="G466" t="s">
        <v>57</v>
      </c>
      <c r="H466" t="s">
        <v>198</v>
      </c>
      <c r="I466" s="8">
        <v>43113</v>
      </c>
      <c r="J466" s="8"/>
      <c r="K466" t="s">
        <v>22</v>
      </c>
      <c r="L466" s="9">
        <v>34500</v>
      </c>
      <c r="M466" s="10">
        <v>3</v>
      </c>
      <c r="N466" t="s">
        <v>58</v>
      </c>
    </row>
    <row r="467" spans="1:14">
      <c r="A467" t="s">
        <v>993</v>
      </c>
      <c r="B467" t="s">
        <v>994</v>
      </c>
      <c r="C467" t="s">
        <v>31</v>
      </c>
      <c r="D467" t="s">
        <v>32</v>
      </c>
      <c r="E467" t="s">
        <v>27</v>
      </c>
      <c r="F467" t="s">
        <v>28</v>
      </c>
      <c r="G467" t="s">
        <v>20</v>
      </c>
      <c r="H467" t="s">
        <v>21</v>
      </c>
      <c r="I467" s="8">
        <v>45688</v>
      </c>
      <c r="J467" s="8"/>
      <c r="K467" t="s">
        <v>22</v>
      </c>
      <c r="L467" s="9">
        <v>40800</v>
      </c>
      <c r="M467" s="10">
        <v>5</v>
      </c>
      <c r="N467" t="s">
        <v>23</v>
      </c>
    </row>
    <row r="468" spans="1:14">
      <c r="A468" t="s">
        <v>995</v>
      </c>
      <c r="B468" t="s">
        <v>996</v>
      </c>
      <c r="C468" t="s">
        <v>16</v>
      </c>
      <c r="D468" t="s">
        <v>26</v>
      </c>
      <c r="E468" t="s">
        <v>70</v>
      </c>
      <c r="F468" t="s">
        <v>105</v>
      </c>
      <c r="G468" t="s">
        <v>20</v>
      </c>
      <c r="H468" t="s">
        <v>21</v>
      </c>
      <c r="I468" s="8">
        <v>43378</v>
      </c>
      <c r="J468" s="8"/>
      <c r="K468" t="s">
        <v>22</v>
      </c>
      <c r="L468" s="9">
        <v>51900</v>
      </c>
      <c r="M468" s="10">
        <v>5</v>
      </c>
      <c r="N468" t="s">
        <v>23</v>
      </c>
    </row>
    <row r="469" spans="1:14">
      <c r="A469" t="s">
        <v>997</v>
      </c>
      <c r="B469" t="s">
        <v>998</v>
      </c>
      <c r="C469" t="s">
        <v>31</v>
      </c>
      <c r="D469" t="s">
        <v>17</v>
      </c>
      <c r="E469" t="s">
        <v>70</v>
      </c>
      <c r="F469" t="s">
        <v>71</v>
      </c>
      <c r="G469" t="s">
        <v>35</v>
      </c>
      <c r="H469" t="s">
        <v>46</v>
      </c>
      <c r="I469" s="8">
        <v>45497</v>
      </c>
      <c r="J469" s="8"/>
      <c r="K469" t="s">
        <v>22</v>
      </c>
      <c r="L469" s="9">
        <v>27100</v>
      </c>
      <c r="M469" s="10">
        <v>3</v>
      </c>
      <c r="N469" t="s">
        <v>23</v>
      </c>
    </row>
    <row r="470" spans="1:14">
      <c r="A470" t="s">
        <v>999</v>
      </c>
      <c r="B470" t="s">
        <v>1000</v>
      </c>
      <c r="C470" t="s">
        <v>31</v>
      </c>
      <c r="D470" t="s">
        <v>26</v>
      </c>
      <c r="E470" t="s">
        <v>33</v>
      </c>
      <c r="F470" t="s">
        <v>148</v>
      </c>
      <c r="G470" t="s">
        <v>20</v>
      </c>
      <c r="H470" t="s">
        <v>21</v>
      </c>
      <c r="I470" s="8">
        <v>43161</v>
      </c>
      <c r="J470" s="8"/>
      <c r="K470" t="s">
        <v>22</v>
      </c>
      <c r="L470" s="9">
        <v>34200</v>
      </c>
      <c r="M470" s="10">
        <v>4</v>
      </c>
      <c r="N470" t="s">
        <v>23</v>
      </c>
    </row>
    <row r="471" spans="1:14">
      <c r="A471" t="s">
        <v>1001</v>
      </c>
      <c r="B471" t="s">
        <v>1002</v>
      </c>
      <c r="C471" t="s">
        <v>16</v>
      </c>
      <c r="D471" t="s">
        <v>32</v>
      </c>
      <c r="E471" t="s">
        <v>44</v>
      </c>
      <c r="F471" t="s">
        <v>56</v>
      </c>
      <c r="G471" t="s">
        <v>20</v>
      </c>
      <c r="H471" t="s">
        <v>46</v>
      </c>
      <c r="I471" s="8">
        <v>45673</v>
      </c>
      <c r="J471" s="8"/>
      <c r="K471" t="s">
        <v>22</v>
      </c>
      <c r="L471" s="9">
        <v>40600</v>
      </c>
      <c r="M471" s="10">
        <v>5</v>
      </c>
      <c r="N471" t="s">
        <v>23</v>
      </c>
    </row>
    <row r="472" spans="1:14">
      <c r="A472" t="s">
        <v>1003</v>
      </c>
      <c r="B472" t="s">
        <v>1004</v>
      </c>
      <c r="C472" t="s">
        <v>31</v>
      </c>
      <c r="D472" t="s">
        <v>88</v>
      </c>
      <c r="E472" t="s">
        <v>70</v>
      </c>
      <c r="F472" t="s">
        <v>102</v>
      </c>
      <c r="G472" t="s">
        <v>40</v>
      </c>
      <c r="H472" t="s">
        <v>21</v>
      </c>
      <c r="I472" s="8">
        <v>44072</v>
      </c>
      <c r="J472" s="8"/>
      <c r="K472" t="s">
        <v>22</v>
      </c>
      <c r="L472" s="9">
        <v>27700</v>
      </c>
      <c r="M472" s="10">
        <v>5</v>
      </c>
      <c r="N472" t="s">
        <v>23</v>
      </c>
    </row>
    <row r="473" spans="1:14">
      <c r="A473" t="s">
        <v>1005</v>
      </c>
      <c r="B473" t="s">
        <v>1006</v>
      </c>
      <c r="C473" t="s">
        <v>31</v>
      </c>
      <c r="D473" t="s">
        <v>49</v>
      </c>
      <c r="E473" t="s">
        <v>33</v>
      </c>
      <c r="F473" t="s">
        <v>34</v>
      </c>
      <c r="G473" t="s">
        <v>40</v>
      </c>
      <c r="H473" t="s">
        <v>21</v>
      </c>
      <c r="I473" s="8">
        <v>45791</v>
      </c>
      <c r="J473" s="8"/>
      <c r="K473" t="s">
        <v>22</v>
      </c>
      <c r="L473" s="9">
        <v>38700</v>
      </c>
      <c r="M473" s="10">
        <v>4</v>
      </c>
      <c r="N473" t="s">
        <v>23</v>
      </c>
    </row>
    <row r="474" spans="1:14">
      <c r="A474" t="s">
        <v>1007</v>
      </c>
      <c r="B474" t="s">
        <v>1008</v>
      </c>
      <c r="C474" t="s">
        <v>31</v>
      </c>
      <c r="D474" t="s">
        <v>43</v>
      </c>
      <c r="E474" t="s">
        <v>27</v>
      </c>
      <c r="F474" t="s">
        <v>61</v>
      </c>
      <c r="G474" t="s">
        <v>40</v>
      </c>
      <c r="H474" t="s">
        <v>21</v>
      </c>
      <c r="I474" s="8">
        <v>43682</v>
      </c>
      <c r="J474" s="8">
        <v>44181</v>
      </c>
      <c r="K474" t="s">
        <v>36</v>
      </c>
      <c r="L474" s="9">
        <v>32600</v>
      </c>
      <c r="M474" s="10">
        <v>4</v>
      </c>
      <c r="N474" t="s">
        <v>58</v>
      </c>
    </row>
    <row r="475" spans="1:14">
      <c r="A475" t="s">
        <v>1009</v>
      </c>
      <c r="B475" t="s">
        <v>1010</v>
      </c>
      <c r="C475" t="s">
        <v>31</v>
      </c>
      <c r="D475" t="s">
        <v>26</v>
      </c>
      <c r="E475" t="s">
        <v>44</v>
      </c>
      <c r="F475" t="s">
        <v>45</v>
      </c>
      <c r="G475" t="s">
        <v>40</v>
      </c>
      <c r="H475" t="s">
        <v>46</v>
      </c>
      <c r="I475" s="8">
        <v>44906</v>
      </c>
      <c r="J475" s="8"/>
      <c r="K475" t="s">
        <v>22</v>
      </c>
      <c r="L475" s="9">
        <v>39000</v>
      </c>
      <c r="M475" s="10">
        <v>1</v>
      </c>
      <c r="N475" t="s">
        <v>23</v>
      </c>
    </row>
    <row r="476" spans="1:14">
      <c r="A476" t="s">
        <v>1011</v>
      </c>
      <c r="B476" t="s">
        <v>1012</v>
      </c>
      <c r="C476" t="s">
        <v>16</v>
      </c>
      <c r="D476" t="s">
        <v>88</v>
      </c>
      <c r="E476" t="s">
        <v>52</v>
      </c>
      <c r="F476" t="s">
        <v>126</v>
      </c>
      <c r="G476" t="s">
        <v>35</v>
      </c>
      <c r="H476" t="s">
        <v>21</v>
      </c>
      <c r="I476" s="8">
        <v>43917</v>
      </c>
      <c r="J476" s="8"/>
      <c r="K476" t="s">
        <v>22</v>
      </c>
      <c r="L476" s="9">
        <v>39800</v>
      </c>
      <c r="M476" s="10">
        <v>3</v>
      </c>
      <c r="N476" t="s">
        <v>58</v>
      </c>
    </row>
    <row r="477" spans="1:14">
      <c r="A477" t="s">
        <v>1013</v>
      </c>
      <c r="B477" t="s">
        <v>1014</v>
      </c>
      <c r="C477" t="s">
        <v>16</v>
      </c>
      <c r="D477" t="s">
        <v>114</v>
      </c>
      <c r="E477" t="s">
        <v>44</v>
      </c>
      <c r="F477" t="s">
        <v>56</v>
      </c>
      <c r="G477" t="s">
        <v>40</v>
      </c>
      <c r="H477" t="s">
        <v>21</v>
      </c>
      <c r="I477" s="8">
        <v>43213</v>
      </c>
      <c r="J477" s="8">
        <v>45525</v>
      </c>
      <c r="K477" t="s">
        <v>36</v>
      </c>
      <c r="L477" s="9">
        <v>33100</v>
      </c>
      <c r="M477" s="10">
        <v>3</v>
      </c>
      <c r="N477" t="s">
        <v>23</v>
      </c>
    </row>
    <row r="478" spans="1:14">
      <c r="A478" t="s">
        <v>1015</v>
      </c>
      <c r="B478" t="s">
        <v>1016</v>
      </c>
      <c r="C478" t="s">
        <v>31</v>
      </c>
      <c r="D478" t="s">
        <v>74</v>
      </c>
      <c r="E478" t="s">
        <v>18</v>
      </c>
      <c r="F478" t="s">
        <v>89</v>
      </c>
      <c r="G478" t="s">
        <v>20</v>
      </c>
      <c r="H478" t="s">
        <v>21</v>
      </c>
      <c r="I478" s="8">
        <v>44451</v>
      </c>
      <c r="J478" s="8"/>
      <c r="K478" t="s">
        <v>22</v>
      </c>
      <c r="L478" s="9">
        <v>64300</v>
      </c>
      <c r="M478" s="10">
        <v>4</v>
      </c>
      <c r="N478" t="s">
        <v>23</v>
      </c>
    </row>
    <row r="479" spans="1:14">
      <c r="A479" t="s">
        <v>1017</v>
      </c>
      <c r="B479" t="s">
        <v>1018</v>
      </c>
      <c r="C479" t="s">
        <v>16</v>
      </c>
      <c r="D479" t="s">
        <v>88</v>
      </c>
      <c r="E479" t="s">
        <v>27</v>
      </c>
      <c r="F479" t="s">
        <v>61</v>
      </c>
      <c r="G479" t="s">
        <v>20</v>
      </c>
      <c r="H479" t="s">
        <v>21</v>
      </c>
      <c r="I479" s="8">
        <v>44462</v>
      </c>
      <c r="J479" s="8"/>
      <c r="K479" t="s">
        <v>22</v>
      </c>
      <c r="L479" s="9">
        <v>47800</v>
      </c>
      <c r="M479" s="10">
        <v>3</v>
      </c>
      <c r="N479" t="s">
        <v>23</v>
      </c>
    </row>
    <row r="480" spans="1:14">
      <c r="A480" t="s">
        <v>1019</v>
      </c>
      <c r="B480" t="s">
        <v>1020</v>
      </c>
      <c r="C480" t="s">
        <v>16</v>
      </c>
      <c r="D480" t="s">
        <v>88</v>
      </c>
      <c r="E480" t="s">
        <v>64</v>
      </c>
      <c r="F480" t="s">
        <v>65</v>
      </c>
      <c r="G480" t="s">
        <v>20</v>
      </c>
      <c r="H480" t="s">
        <v>21</v>
      </c>
      <c r="I480" s="8">
        <v>44025</v>
      </c>
      <c r="J480" s="8">
        <v>45130</v>
      </c>
      <c r="K480" t="s">
        <v>36</v>
      </c>
      <c r="L480" s="9">
        <v>32700</v>
      </c>
      <c r="M480" s="10">
        <v>4</v>
      </c>
      <c r="N480" t="s">
        <v>23</v>
      </c>
    </row>
    <row r="481" spans="1:14">
      <c r="A481" t="s">
        <v>1021</v>
      </c>
      <c r="B481" t="s">
        <v>1022</v>
      </c>
      <c r="C481" t="s">
        <v>16</v>
      </c>
      <c r="D481" t="s">
        <v>32</v>
      </c>
      <c r="E481" t="s">
        <v>33</v>
      </c>
      <c r="F481" t="s">
        <v>148</v>
      </c>
      <c r="G481" t="s">
        <v>57</v>
      </c>
      <c r="H481" t="s">
        <v>46</v>
      </c>
      <c r="I481" s="8">
        <v>45611</v>
      </c>
      <c r="J481" s="8"/>
      <c r="K481" t="s">
        <v>22</v>
      </c>
      <c r="L481" s="9">
        <v>42800</v>
      </c>
      <c r="M481" s="10">
        <v>4</v>
      </c>
      <c r="N481" t="s">
        <v>23</v>
      </c>
    </row>
    <row r="482" spans="1:14">
      <c r="A482" t="s">
        <v>1023</v>
      </c>
      <c r="B482" t="s">
        <v>1024</v>
      </c>
      <c r="C482" t="s">
        <v>16</v>
      </c>
      <c r="D482" t="s">
        <v>74</v>
      </c>
      <c r="E482" t="s">
        <v>18</v>
      </c>
      <c r="F482" t="s">
        <v>89</v>
      </c>
      <c r="G482" t="s">
        <v>20</v>
      </c>
      <c r="H482" t="s">
        <v>46</v>
      </c>
      <c r="I482" s="8">
        <v>43145</v>
      </c>
      <c r="J482" s="8"/>
      <c r="K482" t="s">
        <v>22</v>
      </c>
      <c r="L482" s="9">
        <v>59400</v>
      </c>
      <c r="M482" s="10">
        <v>1</v>
      </c>
      <c r="N482" t="s">
        <v>58</v>
      </c>
    </row>
    <row r="483" spans="1:14">
      <c r="A483" t="s">
        <v>1025</v>
      </c>
      <c r="B483" t="s">
        <v>1026</v>
      </c>
      <c r="C483" t="s">
        <v>31</v>
      </c>
      <c r="D483" t="s">
        <v>74</v>
      </c>
      <c r="E483" t="s">
        <v>27</v>
      </c>
      <c r="F483" t="s">
        <v>61</v>
      </c>
      <c r="G483" t="s">
        <v>35</v>
      </c>
      <c r="H483" t="s">
        <v>198</v>
      </c>
      <c r="I483" s="8">
        <v>44146</v>
      </c>
      <c r="J483" s="8"/>
      <c r="K483" t="s">
        <v>22</v>
      </c>
      <c r="L483" s="9">
        <v>43400</v>
      </c>
      <c r="M483" s="10">
        <v>4</v>
      </c>
      <c r="N483" t="s">
        <v>23</v>
      </c>
    </row>
    <row r="484" spans="1:14">
      <c r="A484" t="s">
        <v>1027</v>
      </c>
      <c r="B484" t="s">
        <v>1028</v>
      </c>
      <c r="C484" t="s">
        <v>31</v>
      </c>
      <c r="D484" t="s">
        <v>88</v>
      </c>
      <c r="E484" t="s">
        <v>52</v>
      </c>
      <c r="F484" t="s">
        <v>53</v>
      </c>
      <c r="G484" t="s">
        <v>40</v>
      </c>
      <c r="H484" t="s">
        <v>21</v>
      </c>
      <c r="I484" s="8">
        <v>43921</v>
      </c>
      <c r="J484" s="8"/>
      <c r="K484" t="s">
        <v>22</v>
      </c>
      <c r="L484" s="9">
        <v>49700</v>
      </c>
      <c r="M484" s="10">
        <v>2</v>
      </c>
      <c r="N484" t="s">
        <v>58</v>
      </c>
    </row>
    <row r="485" spans="1:14">
      <c r="A485" t="s">
        <v>1029</v>
      </c>
      <c r="B485" t="s">
        <v>1030</v>
      </c>
      <c r="C485" t="s">
        <v>16</v>
      </c>
      <c r="D485" t="s">
        <v>49</v>
      </c>
      <c r="E485" t="s">
        <v>18</v>
      </c>
      <c r="F485" t="s">
        <v>89</v>
      </c>
      <c r="G485" t="s">
        <v>40</v>
      </c>
      <c r="H485" t="s">
        <v>46</v>
      </c>
      <c r="I485" s="8">
        <v>44441</v>
      </c>
      <c r="J485" s="8"/>
      <c r="K485" t="s">
        <v>22</v>
      </c>
      <c r="L485" s="9">
        <v>68100</v>
      </c>
      <c r="M485" s="10">
        <v>4</v>
      </c>
      <c r="N485" t="s">
        <v>23</v>
      </c>
    </row>
    <row r="486" spans="1:14">
      <c r="A486" t="s">
        <v>1031</v>
      </c>
      <c r="B486" t="s">
        <v>1032</v>
      </c>
      <c r="C486" t="s">
        <v>16</v>
      </c>
      <c r="D486" t="s">
        <v>49</v>
      </c>
      <c r="E486" t="s">
        <v>64</v>
      </c>
      <c r="F486" t="s">
        <v>65</v>
      </c>
      <c r="G486" t="s">
        <v>20</v>
      </c>
      <c r="H486" t="s">
        <v>21</v>
      </c>
      <c r="I486" s="8">
        <v>45118</v>
      </c>
      <c r="J486" s="8"/>
      <c r="K486" t="s">
        <v>22</v>
      </c>
      <c r="L486" s="9">
        <v>27500</v>
      </c>
      <c r="M486" s="10">
        <v>4</v>
      </c>
      <c r="N486" t="s">
        <v>23</v>
      </c>
    </row>
    <row r="487" spans="1:14">
      <c r="A487" t="s">
        <v>1033</v>
      </c>
      <c r="B487" t="s">
        <v>1034</v>
      </c>
      <c r="C487" t="s">
        <v>16</v>
      </c>
      <c r="D487" t="s">
        <v>17</v>
      </c>
      <c r="E487" t="s">
        <v>64</v>
      </c>
      <c r="F487" t="s">
        <v>92</v>
      </c>
      <c r="G487" t="s">
        <v>40</v>
      </c>
      <c r="H487" t="s">
        <v>21</v>
      </c>
      <c r="I487" s="8">
        <v>45999</v>
      </c>
      <c r="J487" s="8"/>
      <c r="K487" t="s">
        <v>22</v>
      </c>
      <c r="L487" s="9">
        <v>38600</v>
      </c>
      <c r="M487" s="10">
        <v>3</v>
      </c>
      <c r="N487" t="s">
        <v>23</v>
      </c>
    </row>
    <row r="488" spans="1:14">
      <c r="A488" t="s">
        <v>1035</v>
      </c>
      <c r="B488" t="s">
        <v>1036</v>
      </c>
      <c r="C488" t="s">
        <v>16</v>
      </c>
      <c r="D488" t="s">
        <v>88</v>
      </c>
      <c r="E488" t="s">
        <v>64</v>
      </c>
      <c r="F488" t="s">
        <v>65</v>
      </c>
      <c r="G488" t="s">
        <v>57</v>
      </c>
      <c r="H488" t="s">
        <v>21</v>
      </c>
      <c r="I488" s="8">
        <v>44815</v>
      </c>
      <c r="J488" s="8"/>
      <c r="K488" t="s">
        <v>22</v>
      </c>
      <c r="L488" s="9">
        <v>46100</v>
      </c>
      <c r="M488" s="10">
        <v>4</v>
      </c>
      <c r="N488" t="s">
        <v>23</v>
      </c>
    </row>
    <row r="489" spans="1:14">
      <c r="A489" t="s">
        <v>1037</v>
      </c>
      <c r="B489" t="s">
        <v>1038</v>
      </c>
      <c r="C489" t="s">
        <v>16</v>
      </c>
      <c r="D489" t="s">
        <v>114</v>
      </c>
      <c r="E489" t="s">
        <v>70</v>
      </c>
      <c r="F489" t="s">
        <v>102</v>
      </c>
      <c r="G489" t="s">
        <v>20</v>
      </c>
      <c r="H489" t="s">
        <v>21</v>
      </c>
      <c r="I489" s="8">
        <v>45022</v>
      </c>
      <c r="J489" s="8"/>
      <c r="K489" t="s">
        <v>22</v>
      </c>
      <c r="L489" s="9">
        <v>24200</v>
      </c>
      <c r="M489" s="10">
        <v>3</v>
      </c>
      <c r="N489" t="s">
        <v>23</v>
      </c>
    </row>
    <row r="490" spans="1:14">
      <c r="A490" t="s">
        <v>1039</v>
      </c>
      <c r="B490" t="s">
        <v>1040</v>
      </c>
      <c r="C490" t="s">
        <v>16</v>
      </c>
      <c r="D490" t="s">
        <v>26</v>
      </c>
      <c r="E490" t="s">
        <v>44</v>
      </c>
      <c r="F490" t="s">
        <v>133</v>
      </c>
      <c r="G490" t="s">
        <v>20</v>
      </c>
      <c r="H490" t="s">
        <v>46</v>
      </c>
      <c r="I490" s="8">
        <v>44619</v>
      </c>
      <c r="J490" s="8">
        <v>44778</v>
      </c>
      <c r="K490" t="s">
        <v>36</v>
      </c>
      <c r="L490" s="9">
        <v>22900</v>
      </c>
      <c r="M490" s="10">
        <v>2</v>
      </c>
      <c r="N490" t="s">
        <v>23</v>
      </c>
    </row>
    <row r="491" spans="1:14">
      <c r="A491" t="s">
        <v>1041</v>
      </c>
      <c r="B491" t="s">
        <v>1042</v>
      </c>
      <c r="C491" t="s">
        <v>16</v>
      </c>
      <c r="D491" t="s">
        <v>43</v>
      </c>
      <c r="E491" t="s">
        <v>70</v>
      </c>
      <c r="F491" t="s">
        <v>71</v>
      </c>
      <c r="G491" t="s">
        <v>20</v>
      </c>
      <c r="H491" t="s">
        <v>21</v>
      </c>
      <c r="I491" s="8">
        <v>45796</v>
      </c>
      <c r="J491" s="8"/>
      <c r="K491" t="s">
        <v>22</v>
      </c>
      <c r="L491" s="9">
        <v>38700</v>
      </c>
      <c r="M491" s="10">
        <v>5</v>
      </c>
      <c r="N491" t="s">
        <v>23</v>
      </c>
    </row>
    <row r="492" spans="1:14">
      <c r="A492" t="s">
        <v>1043</v>
      </c>
      <c r="B492" t="s">
        <v>1044</v>
      </c>
      <c r="C492" t="s">
        <v>16</v>
      </c>
      <c r="D492" t="s">
        <v>26</v>
      </c>
      <c r="E492" t="s">
        <v>18</v>
      </c>
      <c r="F492" t="s">
        <v>89</v>
      </c>
      <c r="G492" t="s">
        <v>57</v>
      </c>
      <c r="H492" t="s">
        <v>21</v>
      </c>
      <c r="I492" s="8">
        <v>45268</v>
      </c>
      <c r="J492" s="8">
        <v>45768</v>
      </c>
      <c r="K492" t="s">
        <v>36</v>
      </c>
      <c r="L492" s="9">
        <v>59200</v>
      </c>
      <c r="M492" s="10">
        <v>3</v>
      </c>
      <c r="N492" t="s">
        <v>23</v>
      </c>
    </row>
    <row r="493" spans="1:14">
      <c r="A493" t="s">
        <v>1045</v>
      </c>
      <c r="B493" t="s">
        <v>1046</v>
      </c>
      <c r="C493" t="s">
        <v>16</v>
      </c>
      <c r="D493" t="s">
        <v>74</v>
      </c>
      <c r="E493" t="s">
        <v>64</v>
      </c>
      <c r="F493" t="s">
        <v>119</v>
      </c>
      <c r="G493" t="s">
        <v>40</v>
      </c>
      <c r="H493" t="s">
        <v>21</v>
      </c>
      <c r="I493" s="8">
        <v>44814</v>
      </c>
      <c r="J493" s="8"/>
      <c r="K493" t="s">
        <v>22</v>
      </c>
      <c r="L493" s="9">
        <v>35200</v>
      </c>
      <c r="M493" s="10">
        <v>5</v>
      </c>
      <c r="N493" t="s">
        <v>23</v>
      </c>
    </row>
    <row r="494" spans="1:14">
      <c r="A494" t="s">
        <v>1047</v>
      </c>
      <c r="B494" t="s">
        <v>1048</v>
      </c>
      <c r="C494" t="s">
        <v>16</v>
      </c>
      <c r="D494" t="s">
        <v>74</v>
      </c>
      <c r="E494" t="s">
        <v>27</v>
      </c>
      <c r="F494" t="s">
        <v>28</v>
      </c>
      <c r="G494" t="s">
        <v>20</v>
      </c>
      <c r="H494" t="s">
        <v>21</v>
      </c>
      <c r="I494" s="8">
        <v>45986</v>
      </c>
      <c r="J494" s="8"/>
      <c r="K494" t="s">
        <v>22</v>
      </c>
      <c r="L494" s="9">
        <v>36600</v>
      </c>
      <c r="M494" s="10">
        <v>5</v>
      </c>
      <c r="N494" t="s">
        <v>23</v>
      </c>
    </row>
    <row r="495" spans="1:14">
      <c r="A495" t="s">
        <v>1049</v>
      </c>
      <c r="B495" t="s">
        <v>1050</v>
      </c>
      <c r="C495" t="s">
        <v>31</v>
      </c>
      <c r="D495" t="s">
        <v>17</v>
      </c>
      <c r="E495" t="s">
        <v>33</v>
      </c>
      <c r="F495" t="s">
        <v>34</v>
      </c>
      <c r="G495" t="s">
        <v>40</v>
      </c>
      <c r="H495" t="s">
        <v>46</v>
      </c>
      <c r="I495" s="8">
        <v>43791</v>
      </c>
      <c r="J495" s="8"/>
      <c r="K495" t="s">
        <v>22</v>
      </c>
      <c r="L495" s="9">
        <v>31200</v>
      </c>
      <c r="M495" s="10">
        <v>4</v>
      </c>
      <c r="N495" t="s">
        <v>23</v>
      </c>
    </row>
    <row r="496" spans="1:14">
      <c r="A496" t="s">
        <v>1051</v>
      </c>
      <c r="B496" t="s">
        <v>1052</v>
      </c>
      <c r="C496" t="s">
        <v>16</v>
      </c>
      <c r="D496" t="s">
        <v>114</v>
      </c>
      <c r="E496" t="s">
        <v>64</v>
      </c>
      <c r="F496" t="s">
        <v>65</v>
      </c>
      <c r="G496" t="s">
        <v>40</v>
      </c>
      <c r="H496" t="s">
        <v>21</v>
      </c>
      <c r="I496" s="8">
        <v>44812</v>
      </c>
      <c r="J496" s="8"/>
      <c r="K496" t="s">
        <v>22</v>
      </c>
      <c r="L496" s="9">
        <v>27400</v>
      </c>
      <c r="M496" s="10">
        <v>3</v>
      </c>
      <c r="N496" t="s">
        <v>23</v>
      </c>
    </row>
    <row r="497" spans="1:14">
      <c r="A497" t="s">
        <v>1053</v>
      </c>
      <c r="B497" t="s">
        <v>1054</v>
      </c>
      <c r="C497" t="s">
        <v>16</v>
      </c>
      <c r="D497" t="s">
        <v>43</v>
      </c>
      <c r="E497" t="s">
        <v>18</v>
      </c>
      <c r="F497" t="s">
        <v>39</v>
      </c>
      <c r="G497" t="s">
        <v>35</v>
      </c>
      <c r="H497" t="s">
        <v>21</v>
      </c>
      <c r="I497" s="8">
        <v>44626</v>
      </c>
      <c r="J497" s="8"/>
      <c r="K497" t="s">
        <v>22</v>
      </c>
      <c r="L497" s="9">
        <v>67900</v>
      </c>
      <c r="M497" s="10">
        <v>5</v>
      </c>
      <c r="N497" t="s">
        <v>58</v>
      </c>
    </row>
    <row r="498" spans="1:14">
      <c r="A498" t="s">
        <v>1055</v>
      </c>
      <c r="B498" t="s">
        <v>1056</v>
      </c>
      <c r="C498" t="s">
        <v>16</v>
      </c>
      <c r="D498" t="s">
        <v>26</v>
      </c>
      <c r="E498" t="s">
        <v>64</v>
      </c>
      <c r="F498" t="s">
        <v>119</v>
      </c>
      <c r="G498" t="s">
        <v>40</v>
      </c>
      <c r="H498" t="s">
        <v>21</v>
      </c>
      <c r="I498" s="8">
        <v>45530</v>
      </c>
      <c r="J498" s="8">
        <v>45966</v>
      </c>
      <c r="K498" t="s">
        <v>36</v>
      </c>
      <c r="L498" s="9">
        <v>41500</v>
      </c>
      <c r="M498" s="10">
        <v>3</v>
      </c>
      <c r="N498" t="s">
        <v>23</v>
      </c>
    </row>
    <row r="499" spans="1:14">
      <c r="A499" t="s">
        <v>1057</v>
      </c>
      <c r="B499" t="s">
        <v>1058</v>
      </c>
      <c r="C499" t="s">
        <v>31</v>
      </c>
      <c r="D499" t="s">
        <v>74</v>
      </c>
      <c r="E499" t="s">
        <v>18</v>
      </c>
      <c r="F499" t="s">
        <v>19</v>
      </c>
      <c r="G499" t="s">
        <v>35</v>
      </c>
      <c r="H499" t="s">
        <v>21</v>
      </c>
      <c r="I499" s="8">
        <v>44928</v>
      </c>
      <c r="J499" s="8">
        <v>45509</v>
      </c>
      <c r="K499" t="s">
        <v>36</v>
      </c>
      <c r="L499" s="9">
        <v>41400</v>
      </c>
      <c r="M499" s="10">
        <v>5</v>
      </c>
      <c r="N499" t="s">
        <v>23</v>
      </c>
    </row>
    <row r="500" spans="1:14">
      <c r="A500" t="s">
        <v>1059</v>
      </c>
      <c r="B500" t="s">
        <v>1060</v>
      </c>
      <c r="C500" t="s">
        <v>16</v>
      </c>
      <c r="D500" t="s">
        <v>43</v>
      </c>
      <c r="E500" t="s">
        <v>27</v>
      </c>
      <c r="F500" t="s">
        <v>28</v>
      </c>
      <c r="G500" t="s">
        <v>35</v>
      </c>
      <c r="H500" t="s">
        <v>21</v>
      </c>
      <c r="I500" s="8">
        <v>43890</v>
      </c>
      <c r="J500" s="8"/>
      <c r="K500" t="s">
        <v>22</v>
      </c>
      <c r="L500" s="9">
        <v>45400</v>
      </c>
      <c r="M500" s="10">
        <v>4</v>
      </c>
      <c r="N500" t="s">
        <v>23</v>
      </c>
    </row>
    <row r="501" spans="1:14">
      <c r="A501" t="s">
        <v>1061</v>
      </c>
      <c r="B501" t="s">
        <v>1062</v>
      </c>
      <c r="C501" t="s">
        <v>31</v>
      </c>
      <c r="D501" t="s">
        <v>114</v>
      </c>
      <c r="E501" t="s">
        <v>70</v>
      </c>
      <c r="F501" t="s">
        <v>102</v>
      </c>
      <c r="G501" t="s">
        <v>40</v>
      </c>
      <c r="H501" t="s">
        <v>21</v>
      </c>
      <c r="I501" s="8">
        <v>44306</v>
      </c>
      <c r="J501" s="8"/>
      <c r="K501" t="s">
        <v>22</v>
      </c>
      <c r="L501" s="9">
        <v>40100</v>
      </c>
      <c r="M501" s="10">
        <v>4</v>
      </c>
      <c r="N501" t="s">
        <v>23</v>
      </c>
    </row>
    <row r="502" spans="1:14">
      <c r="A502" t="s">
        <v>1063</v>
      </c>
      <c r="B502" t="s">
        <v>1064</v>
      </c>
      <c r="C502" t="s">
        <v>31</v>
      </c>
      <c r="D502" t="s">
        <v>49</v>
      </c>
      <c r="E502" t="s">
        <v>27</v>
      </c>
      <c r="F502" t="s">
        <v>61</v>
      </c>
      <c r="G502" t="s">
        <v>20</v>
      </c>
      <c r="H502" t="s">
        <v>21</v>
      </c>
      <c r="I502" s="8">
        <v>43537</v>
      </c>
      <c r="J502" s="8"/>
      <c r="K502" t="s">
        <v>22</v>
      </c>
      <c r="L502" s="9">
        <v>44400</v>
      </c>
      <c r="M502" s="10">
        <v>3</v>
      </c>
      <c r="N502" t="s">
        <v>23</v>
      </c>
    </row>
    <row r="503" spans="1:14">
      <c r="A503" t="s">
        <v>1065</v>
      </c>
      <c r="B503" t="s">
        <v>1066</v>
      </c>
      <c r="C503" t="s">
        <v>31</v>
      </c>
      <c r="D503" t="s">
        <v>49</v>
      </c>
      <c r="E503" t="s">
        <v>27</v>
      </c>
      <c r="F503" t="s">
        <v>61</v>
      </c>
      <c r="G503" t="s">
        <v>57</v>
      </c>
      <c r="H503" t="s">
        <v>46</v>
      </c>
      <c r="I503" s="8">
        <v>44323</v>
      </c>
      <c r="J503" s="8"/>
      <c r="K503" t="s">
        <v>22</v>
      </c>
      <c r="L503" s="9">
        <v>38300</v>
      </c>
      <c r="M503" s="10">
        <v>5</v>
      </c>
      <c r="N503" t="s">
        <v>23</v>
      </c>
    </row>
    <row r="504" spans="1:14">
      <c r="A504" t="s">
        <v>1067</v>
      </c>
      <c r="B504" t="s">
        <v>1068</v>
      </c>
      <c r="C504" t="s">
        <v>16</v>
      </c>
      <c r="D504" t="s">
        <v>74</v>
      </c>
      <c r="E504" t="s">
        <v>64</v>
      </c>
      <c r="F504" t="s">
        <v>92</v>
      </c>
      <c r="G504" t="s">
        <v>20</v>
      </c>
      <c r="H504" t="s">
        <v>21</v>
      </c>
      <c r="I504" s="8">
        <v>44009</v>
      </c>
      <c r="J504" s="8"/>
      <c r="K504" t="s">
        <v>22</v>
      </c>
      <c r="L504" s="9">
        <v>34200</v>
      </c>
      <c r="M504" s="10">
        <v>5</v>
      </c>
      <c r="N504" t="s">
        <v>58</v>
      </c>
    </row>
    <row r="505" spans="1:14">
      <c r="A505" t="s">
        <v>1069</v>
      </c>
      <c r="B505" t="s">
        <v>1070</v>
      </c>
      <c r="C505" t="s">
        <v>16</v>
      </c>
      <c r="D505" t="s">
        <v>49</v>
      </c>
      <c r="E505" t="s">
        <v>70</v>
      </c>
      <c r="F505" t="s">
        <v>71</v>
      </c>
      <c r="G505" t="s">
        <v>57</v>
      </c>
      <c r="H505" t="s">
        <v>21</v>
      </c>
      <c r="I505" s="8">
        <v>43191</v>
      </c>
      <c r="J505" s="8"/>
      <c r="K505" t="s">
        <v>22</v>
      </c>
      <c r="L505" s="9">
        <v>25000</v>
      </c>
      <c r="M505" s="10">
        <v>5</v>
      </c>
      <c r="N505" t="s">
        <v>23</v>
      </c>
    </row>
    <row r="506" spans="1:14">
      <c r="A506" t="s">
        <v>1071</v>
      </c>
      <c r="B506" t="s">
        <v>1072</v>
      </c>
      <c r="C506" t="s">
        <v>31</v>
      </c>
      <c r="D506" t="s">
        <v>114</v>
      </c>
      <c r="E506" t="s">
        <v>44</v>
      </c>
      <c r="F506" t="s">
        <v>56</v>
      </c>
      <c r="G506" t="s">
        <v>20</v>
      </c>
      <c r="H506" t="s">
        <v>21</v>
      </c>
      <c r="I506" s="8">
        <v>45728</v>
      </c>
      <c r="J506" s="8"/>
      <c r="K506" t="s">
        <v>22</v>
      </c>
      <c r="L506" s="9">
        <v>18000</v>
      </c>
      <c r="M506" s="10">
        <v>1</v>
      </c>
      <c r="N506" t="s">
        <v>58</v>
      </c>
    </row>
    <row r="507" spans="1:14">
      <c r="A507" t="s">
        <v>1073</v>
      </c>
      <c r="B507" t="s">
        <v>1074</v>
      </c>
      <c r="C507" t="s">
        <v>16</v>
      </c>
      <c r="D507" t="s">
        <v>32</v>
      </c>
      <c r="E507" t="s">
        <v>44</v>
      </c>
      <c r="F507" t="s">
        <v>56</v>
      </c>
      <c r="G507" t="s">
        <v>40</v>
      </c>
      <c r="H507" t="s">
        <v>21</v>
      </c>
      <c r="I507" s="8">
        <v>43786</v>
      </c>
      <c r="J507" s="8"/>
      <c r="K507" t="s">
        <v>22</v>
      </c>
      <c r="L507" s="9">
        <v>30300</v>
      </c>
      <c r="M507" s="10">
        <v>3</v>
      </c>
      <c r="N507" t="s">
        <v>58</v>
      </c>
    </row>
    <row r="508" spans="1:14">
      <c r="A508" t="s">
        <v>1075</v>
      </c>
      <c r="B508" t="s">
        <v>1076</v>
      </c>
      <c r="C508" t="s">
        <v>31</v>
      </c>
      <c r="D508" t="s">
        <v>114</v>
      </c>
      <c r="E508" t="s">
        <v>33</v>
      </c>
      <c r="F508" t="s">
        <v>148</v>
      </c>
      <c r="G508" t="s">
        <v>35</v>
      </c>
      <c r="H508" t="s">
        <v>21</v>
      </c>
      <c r="I508" s="8">
        <v>43796</v>
      </c>
      <c r="J508" s="8">
        <v>45775</v>
      </c>
      <c r="K508" t="s">
        <v>36</v>
      </c>
      <c r="L508" s="9">
        <v>35400</v>
      </c>
      <c r="M508" s="10">
        <v>2</v>
      </c>
      <c r="N508" t="s">
        <v>23</v>
      </c>
    </row>
    <row r="509" spans="1:14">
      <c r="A509" t="s">
        <v>1077</v>
      </c>
      <c r="B509" t="s">
        <v>1078</v>
      </c>
      <c r="C509" t="s">
        <v>16</v>
      </c>
      <c r="D509" t="s">
        <v>49</v>
      </c>
      <c r="E509" t="s">
        <v>18</v>
      </c>
      <c r="F509" t="s">
        <v>39</v>
      </c>
      <c r="G509" t="s">
        <v>35</v>
      </c>
      <c r="H509" t="s">
        <v>21</v>
      </c>
      <c r="I509" s="8">
        <v>43406</v>
      </c>
      <c r="J509" s="8"/>
      <c r="K509" t="s">
        <v>22</v>
      </c>
      <c r="L509" s="9">
        <v>57300</v>
      </c>
      <c r="M509" s="10">
        <v>4</v>
      </c>
      <c r="N509" t="s">
        <v>23</v>
      </c>
    </row>
    <row r="510" spans="1:14">
      <c r="A510" t="s">
        <v>1079</v>
      </c>
      <c r="B510" t="s">
        <v>1080</v>
      </c>
      <c r="C510" t="s">
        <v>31</v>
      </c>
      <c r="D510" t="s">
        <v>88</v>
      </c>
      <c r="E510" t="s">
        <v>44</v>
      </c>
      <c r="F510" t="s">
        <v>56</v>
      </c>
      <c r="G510" t="s">
        <v>20</v>
      </c>
      <c r="H510" t="s">
        <v>21</v>
      </c>
      <c r="I510" s="8">
        <v>43799</v>
      </c>
      <c r="J510" s="8"/>
      <c r="K510" t="s">
        <v>22</v>
      </c>
      <c r="L510" s="9">
        <v>29600</v>
      </c>
      <c r="M510" s="10">
        <v>2</v>
      </c>
      <c r="N510" t="s">
        <v>58</v>
      </c>
    </row>
    <row r="511" spans="1:14">
      <c r="A511" t="s">
        <v>1081</v>
      </c>
      <c r="B511" t="s">
        <v>1082</v>
      </c>
      <c r="C511" t="s">
        <v>16</v>
      </c>
      <c r="D511" t="s">
        <v>114</v>
      </c>
      <c r="E511" t="s">
        <v>70</v>
      </c>
      <c r="F511" t="s">
        <v>102</v>
      </c>
      <c r="G511" t="s">
        <v>20</v>
      </c>
      <c r="H511" t="s">
        <v>21</v>
      </c>
      <c r="I511" s="8">
        <v>45060</v>
      </c>
      <c r="J511" s="8"/>
      <c r="K511" t="s">
        <v>22</v>
      </c>
      <c r="L511" s="9">
        <v>34600</v>
      </c>
      <c r="M511" s="10">
        <v>2</v>
      </c>
      <c r="N511" t="s">
        <v>58</v>
      </c>
    </row>
    <row r="512" spans="1:14">
      <c r="A512" t="s">
        <v>1083</v>
      </c>
      <c r="B512" t="s">
        <v>1084</v>
      </c>
      <c r="C512" t="s">
        <v>31</v>
      </c>
      <c r="D512" t="s">
        <v>49</v>
      </c>
      <c r="E512" t="s">
        <v>27</v>
      </c>
      <c r="F512" t="s">
        <v>28</v>
      </c>
      <c r="G512" t="s">
        <v>40</v>
      </c>
      <c r="H512" t="s">
        <v>21</v>
      </c>
      <c r="I512" s="8">
        <v>44006</v>
      </c>
      <c r="J512" s="8">
        <v>44716</v>
      </c>
      <c r="K512" t="s">
        <v>36</v>
      </c>
      <c r="L512" s="9">
        <v>44400</v>
      </c>
      <c r="M512" s="10">
        <v>2</v>
      </c>
      <c r="N512" t="s">
        <v>23</v>
      </c>
    </row>
    <row r="513" spans="1:14">
      <c r="A513" t="s">
        <v>1085</v>
      </c>
      <c r="B513" t="s">
        <v>1086</v>
      </c>
      <c r="C513" t="s">
        <v>16</v>
      </c>
      <c r="D513" t="s">
        <v>26</v>
      </c>
      <c r="E513" t="s">
        <v>64</v>
      </c>
      <c r="F513" t="s">
        <v>65</v>
      </c>
      <c r="G513" t="s">
        <v>20</v>
      </c>
      <c r="H513" t="s">
        <v>21</v>
      </c>
      <c r="I513" s="8">
        <v>44992</v>
      </c>
      <c r="J513" s="8">
        <v>45522</v>
      </c>
      <c r="K513" t="s">
        <v>36</v>
      </c>
      <c r="L513" s="9">
        <v>27700</v>
      </c>
      <c r="M513" s="10">
        <v>1</v>
      </c>
      <c r="N513" t="s">
        <v>23</v>
      </c>
    </row>
    <row r="514" spans="1:14">
      <c r="A514" t="s">
        <v>1087</v>
      </c>
      <c r="B514" t="s">
        <v>1088</v>
      </c>
      <c r="C514" t="s">
        <v>31</v>
      </c>
      <c r="D514" t="s">
        <v>32</v>
      </c>
      <c r="E514" t="s">
        <v>44</v>
      </c>
      <c r="F514" t="s">
        <v>133</v>
      </c>
      <c r="G514" t="s">
        <v>35</v>
      </c>
      <c r="H514" t="s">
        <v>21</v>
      </c>
      <c r="I514" s="8">
        <v>44325</v>
      </c>
      <c r="J514" s="8"/>
      <c r="K514" t="s">
        <v>22</v>
      </c>
      <c r="L514" s="9">
        <v>34000</v>
      </c>
      <c r="M514" s="10">
        <v>4</v>
      </c>
      <c r="N514" t="s">
        <v>23</v>
      </c>
    </row>
    <row r="515" spans="1:14">
      <c r="A515" t="s">
        <v>1089</v>
      </c>
      <c r="B515" t="s">
        <v>1090</v>
      </c>
      <c r="C515" t="s">
        <v>31</v>
      </c>
      <c r="D515" t="s">
        <v>74</v>
      </c>
      <c r="E515" t="s">
        <v>70</v>
      </c>
      <c r="F515" t="s">
        <v>102</v>
      </c>
      <c r="G515" t="s">
        <v>35</v>
      </c>
      <c r="H515" t="s">
        <v>46</v>
      </c>
      <c r="I515" s="8">
        <v>43527</v>
      </c>
      <c r="J515" s="8"/>
      <c r="K515" t="s">
        <v>22</v>
      </c>
      <c r="L515" s="9">
        <v>21400</v>
      </c>
      <c r="M515" s="10">
        <v>5</v>
      </c>
      <c r="N515" t="s">
        <v>23</v>
      </c>
    </row>
    <row r="516" spans="1:14">
      <c r="A516" t="s">
        <v>1091</v>
      </c>
      <c r="B516" t="s">
        <v>1092</v>
      </c>
      <c r="C516" t="s">
        <v>16</v>
      </c>
      <c r="D516" t="s">
        <v>114</v>
      </c>
      <c r="E516" t="s">
        <v>27</v>
      </c>
      <c r="F516" t="s">
        <v>75</v>
      </c>
      <c r="G516" t="s">
        <v>20</v>
      </c>
      <c r="H516" t="s">
        <v>46</v>
      </c>
      <c r="I516" s="8">
        <v>45878</v>
      </c>
      <c r="J516" s="8">
        <v>46011</v>
      </c>
      <c r="K516" t="s">
        <v>36</v>
      </c>
      <c r="L516" s="9">
        <v>46900</v>
      </c>
      <c r="M516" s="10">
        <v>3</v>
      </c>
      <c r="N516" t="s">
        <v>23</v>
      </c>
    </row>
    <row r="517" spans="1:14">
      <c r="A517" t="s">
        <v>1093</v>
      </c>
      <c r="B517" t="s">
        <v>1094</v>
      </c>
      <c r="C517" t="s">
        <v>16</v>
      </c>
      <c r="D517" t="s">
        <v>32</v>
      </c>
      <c r="E517" t="s">
        <v>27</v>
      </c>
      <c r="F517" t="s">
        <v>28</v>
      </c>
      <c r="G517" t="s">
        <v>57</v>
      </c>
      <c r="H517" t="s">
        <v>46</v>
      </c>
      <c r="I517" s="8">
        <v>43618</v>
      </c>
      <c r="J517" s="8">
        <v>43841</v>
      </c>
      <c r="K517" t="s">
        <v>36</v>
      </c>
      <c r="L517" s="9">
        <v>40200</v>
      </c>
      <c r="M517" s="10">
        <v>5</v>
      </c>
      <c r="N517" t="s">
        <v>58</v>
      </c>
    </row>
    <row r="518" spans="1:14">
      <c r="A518" t="s">
        <v>1095</v>
      </c>
      <c r="B518" t="s">
        <v>1096</v>
      </c>
      <c r="C518" t="s">
        <v>31</v>
      </c>
      <c r="D518" t="s">
        <v>49</v>
      </c>
      <c r="E518" t="s">
        <v>27</v>
      </c>
      <c r="F518" t="s">
        <v>75</v>
      </c>
      <c r="G518" t="s">
        <v>35</v>
      </c>
      <c r="H518" t="s">
        <v>21</v>
      </c>
      <c r="I518" s="8">
        <v>45581</v>
      </c>
      <c r="J518" s="8"/>
      <c r="K518" t="s">
        <v>22</v>
      </c>
      <c r="L518" s="9">
        <v>53300</v>
      </c>
      <c r="M518" s="10">
        <v>4</v>
      </c>
      <c r="N518" t="s">
        <v>23</v>
      </c>
    </row>
    <row r="519" spans="1:14">
      <c r="A519" t="s">
        <v>1097</v>
      </c>
      <c r="B519" t="s">
        <v>1098</v>
      </c>
      <c r="C519" t="s">
        <v>31</v>
      </c>
      <c r="D519" t="s">
        <v>74</v>
      </c>
      <c r="E519" t="s">
        <v>52</v>
      </c>
      <c r="F519" t="s">
        <v>53</v>
      </c>
      <c r="G519" t="s">
        <v>40</v>
      </c>
      <c r="H519" t="s">
        <v>46</v>
      </c>
      <c r="I519" s="8">
        <v>44722</v>
      </c>
      <c r="J519" s="8"/>
      <c r="K519" t="s">
        <v>22</v>
      </c>
      <c r="L519" s="9">
        <v>29000</v>
      </c>
      <c r="M519" s="10">
        <v>3</v>
      </c>
      <c r="N519" t="s">
        <v>23</v>
      </c>
    </row>
    <row r="520" spans="1:14">
      <c r="A520" t="s">
        <v>1099</v>
      </c>
      <c r="B520" t="s">
        <v>1100</v>
      </c>
      <c r="C520" t="s">
        <v>16</v>
      </c>
      <c r="D520" t="s">
        <v>49</v>
      </c>
      <c r="E520" t="s">
        <v>70</v>
      </c>
      <c r="F520" t="s">
        <v>102</v>
      </c>
      <c r="G520" t="s">
        <v>35</v>
      </c>
      <c r="H520" t="s">
        <v>21</v>
      </c>
      <c r="I520" s="8">
        <v>44463</v>
      </c>
      <c r="J520" s="8"/>
      <c r="K520" t="s">
        <v>22</v>
      </c>
      <c r="L520" s="9">
        <v>44100</v>
      </c>
      <c r="M520" s="10">
        <v>3</v>
      </c>
      <c r="N520" t="s">
        <v>23</v>
      </c>
    </row>
    <row r="521" spans="1:14">
      <c r="A521" t="s">
        <v>1101</v>
      </c>
      <c r="B521" t="s">
        <v>1102</v>
      </c>
      <c r="C521" t="s">
        <v>31</v>
      </c>
      <c r="D521" t="s">
        <v>17</v>
      </c>
      <c r="E521" t="s">
        <v>44</v>
      </c>
      <c r="F521" t="s">
        <v>133</v>
      </c>
      <c r="G521" t="s">
        <v>40</v>
      </c>
      <c r="H521" t="s">
        <v>21</v>
      </c>
      <c r="I521" s="8">
        <v>43435</v>
      </c>
      <c r="J521" s="8">
        <v>43760</v>
      </c>
      <c r="K521" t="s">
        <v>36</v>
      </c>
      <c r="L521" s="9">
        <v>34500</v>
      </c>
      <c r="M521" s="10">
        <v>4</v>
      </c>
      <c r="N521" t="s">
        <v>23</v>
      </c>
    </row>
    <row r="522" spans="1:14">
      <c r="A522" t="s">
        <v>1103</v>
      </c>
      <c r="B522" t="s">
        <v>1104</v>
      </c>
      <c r="C522" t="s">
        <v>31</v>
      </c>
      <c r="D522" t="s">
        <v>32</v>
      </c>
      <c r="E522" t="s">
        <v>18</v>
      </c>
      <c r="F522" t="s">
        <v>89</v>
      </c>
      <c r="G522" t="s">
        <v>40</v>
      </c>
      <c r="H522" t="s">
        <v>21</v>
      </c>
      <c r="I522" s="8">
        <v>45366</v>
      </c>
      <c r="J522" s="8">
        <v>45995</v>
      </c>
      <c r="K522" t="s">
        <v>36</v>
      </c>
      <c r="L522" s="9">
        <v>68300</v>
      </c>
      <c r="M522" s="10">
        <v>4</v>
      </c>
      <c r="N522" t="s">
        <v>23</v>
      </c>
    </row>
    <row r="523" spans="1:14">
      <c r="A523" t="s">
        <v>1105</v>
      </c>
      <c r="B523" t="s">
        <v>1106</v>
      </c>
      <c r="C523" t="s">
        <v>16</v>
      </c>
      <c r="D523" t="s">
        <v>114</v>
      </c>
      <c r="E523" t="s">
        <v>33</v>
      </c>
      <c r="F523" t="s">
        <v>34</v>
      </c>
      <c r="G523" t="s">
        <v>35</v>
      </c>
      <c r="H523" t="s">
        <v>21</v>
      </c>
      <c r="I523" s="8">
        <v>44733</v>
      </c>
      <c r="J523" s="8"/>
      <c r="K523" t="s">
        <v>22</v>
      </c>
      <c r="L523" s="9">
        <v>41400</v>
      </c>
      <c r="M523" s="10">
        <v>5</v>
      </c>
      <c r="N523" t="s">
        <v>23</v>
      </c>
    </row>
    <row r="524" spans="1:14">
      <c r="A524" t="s">
        <v>1107</v>
      </c>
      <c r="B524" t="s">
        <v>1108</v>
      </c>
      <c r="C524" t="s">
        <v>31</v>
      </c>
      <c r="D524" t="s">
        <v>74</v>
      </c>
      <c r="E524" t="s">
        <v>33</v>
      </c>
      <c r="F524" t="s">
        <v>148</v>
      </c>
      <c r="G524" t="s">
        <v>35</v>
      </c>
      <c r="H524" t="s">
        <v>21</v>
      </c>
      <c r="I524" s="8">
        <v>43807</v>
      </c>
      <c r="J524" s="8">
        <v>44637</v>
      </c>
      <c r="K524" t="s">
        <v>36</v>
      </c>
      <c r="L524" s="9">
        <v>45500</v>
      </c>
      <c r="M524" s="10">
        <v>3</v>
      </c>
      <c r="N524" t="s">
        <v>58</v>
      </c>
    </row>
    <row r="525" spans="1:14">
      <c r="A525" t="s">
        <v>1109</v>
      </c>
      <c r="B525" t="s">
        <v>1110</v>
      </c>
      <c r="C525" t="s">
        <v>16</v>
      </c>
      <c r="D525" t="s">
        <v>114</v>
      </c>
      <c r="E525" t="s">
        <v>64</v>
      </c>
      <c r="F525" t="s">
        <v>65</v>
      </c>
      <c r="G525" t="s">
        <v>20</v>
      </c>
      <c r="H525" t="s">
        <v>21</v>
      </c>
      <c r="I525" s="8">
        <v>44298</v>
      </c>
      <c r="J525" s="8"/>
      <c r="K525" t="s">
        <v>22</v>
      </c>
      <c r="L525" s="9">
        <v>42000</v>
      </c>
      <c r="M525" s="10">
        <v>2</v>
      </c>
      <c r="N525" t="s">
        <v>23</v>
      </c>
    </row>
    <row r="526" spans="1:14">
      <c r="A526" t="s">
        <v>1111</v>
      </c>
      <c r="B526" t="s">
        <v>1112</v>
      </c>
      <c r="C526" t="s">
        <v>31</v>
      </c>
      <c r="D526" t="s">
        <v>74</v>
      </c>
      <c r="E526" t="s">
        <v>44</v>
      </c>
      <c r="F526" t="s">
        <v>133</v>
      </c>
      <c r="G526" t="s">
        <v>40</v>
      </c>
      <c r="H526" t="s">
        <v>46</v>
      </c>
      <c r="I526" s="8">
        <v>44381</v>
      </c>
      <c r="J526" s="8"/>
      <c r="K526" t="s">
        <v>22</v>
      </c>
      <c r="L526" s="9">
        <v>34800</v>
      </c>
      <c r="M526" s="10">
        <v>4</v>
      </c>
      <c r="N526" t="s">
        <v>23</v>
      </c>
    </row>
    <row r="527" spans="1:14">
      <c r="A527" t="s">
        <v>1113</v>
      </c>
      <c r="B527" t="s">
        <v>1114</v>
      </c>
      <c r="C527" t="s">
        <v>31</v>
      </c>
      <c r="D527" t="s">
        <v>43</v>
      </c>
      <c r="E527" t="s">
        <v>18</v>
      </c>
      <c r="F527" t="s">
        <v>39</v>
      </c>
      <c r="G527" t="s">
        <v>40</v>
      </c>
      <c r="H527" t="s">
        <v>21</v>
      </c>
      <c r="I527" s="8">
        <v>44033</v>
      </c>
      <c r="J527" s="8"/>
      <c r="K527" t="s">
        <v>22</v>
      </c>
      <c r="L527" s="9">
        <v>55100</v>
      </c>
      <c r="M527" s="10">
        <v>3</v>
      </c>
      <c r="N527" t="s">
        <v>23</v>
      </c>
    </row>
    <row r="528" spans="1:14">
      <c r="A528" t="s">
        <v>1115</v>
      </c>
      <c r="B528" t="s">
        <v>1116</v>
      </c>
      <c r="C528" t="s">
        <v>31</v>
      </c>
      <c r="D528" t="s">
        <v>43</v>
      </c>
      <c r="E528" t="s">
        <v>64</v>
      </c>
      <c r="F528" t="s">
        <v>65</v>
      </c>
      <c r="G528" t="s">
        <v>20</v>
      </c>
      <c r="H528" t="s">
        <v>21</v>
      </c>
      <c r="I528" s="8">
        <v>44745</v>
      </c>
      <c r="J528" s="8"/>
      <c r="K528" t="s">
        <v>22</v>
      </c>
      <c r="L528" s="9">
        <v>26900</v>
      </c>
      <c r="M528" s="10">
        <v>3</v>
      </c>
      <c r="N528" t="s">
        <v>58</v>
      </c>
    </row>
    <row r="529" spans="1:14">
      <c r="A529" t="s">
        <v>1117</v>
      </c>
      <c r="B529" t="s">
        <v>1118</v>
      </c>
      <c r="C529" t="s">
        <v>16</v>
      </c>
      <c r="D529" t="s">
        <v>26</v>
      </c>
      <c r="E529" t="s">
        <v>70</v>
      </c>
      <c r="F529" t="s">
        <v>71</v>
      </c>
      <c r="G529" t="s">
        <v>35</v>
      </c>
      <c r="H529" t="s">
        <v>46</v>
      </c>
      <c r="I529" s="8">
        <v>44037</v>
      </c>
      <c r="J529" s="8">
        <v>44646</v>
      </c>
      <c r="K529" t="s">
        <v>36</v>
      </c>
      <c r="L529" s="9">
        <v>35900</v>
      </c>
      <c r="M529" s="10">
        <v>4</v>
      </c>
      <c r="N529" t="s">
        <v>23</v>
      </c>
    </row>
    <row r="530" spans="1:14">
      <c r="A530" t="s">
        <v>1119</v>
      </c>
      <c r="B530" t="s">
        <v>1120</v>
      </c>
      <c r="C530" t="s">
        <v>16</v>
      </c>
      <c r="D530" t="s">
        <v>114</v>
      </c>
      <c r="E530" t="s">
        <v>52</v>
      </c>
      <c r="F530" t="s">
        <v>126</v>
      </c>
      <c r="G530" t="s">
        <v>35</v>
      </c>
      <c r="H530" t="s">
        <v>21</v>
      </c>
      <c r="I530" s="8">
        <v>44847</v>
      </c>
      <c r="J530" s="8"/>
      <c r="K530" t="s">
        <v>22</v>
      </c>
      <c r="L530" s="9">
        <v>31600</v>
      </c>
      <c r="M530" s="10">
        <v>3</v>
      </c>
      <c r="N530" t="s">
        <v>23</v>
      </c>
    </row>
    <row r="531" spans="1:14">
      <c r="A531" t="s">
        <v>1121</v>
      </c>
      <c r="B531" t="s">
        <v>1122</v>
      </c>
      <c r="C531" t="s">
        <v>31</v>
      </c>
      <c r="D531" t="s">
        <v>26</v>
      </c>
      <c r="E531" t="s">
        <v>70</v>
      </c>
      <c r="F531" t="s">
        <v>105</v>
      </c>
      <c r="G531" t="s">
        <v>40</v>
      </c>
      <c r="H531" t="s">
        <v>21</v>
      </c>
      <c r="I531" s="8">
        <v>44839</v>
      </c>
      <c r="J531" s="8"/>
      <c r="K531" t="s">
        <v>22</v>
      </c>
      <c r="L531" s="9">
        <v>43600</v>
      </c>
      <c r="M531" s="10">
        <v>3</v>
      </c>
      <c r="N531" t="s">
        <v>23</v>
      </c>
    </row>
    <row r="532" spans="1:14">
      <c r="A532" t="s">
        <v>1123</v>
      </c>
      <c r="B532" t="s">
        <v>1124</v>
      </c>
      <c r="C532" t="s">
        <v>16</v>
      </c>
      <c r="D532" t="s">
        <v>114</v>
      </c>
      <c r="E532" t="s">
        <v>44</v>
      </c>
      <c r="F532" t="s">
        <v>133</v>
      </c>
      <c r="G532" t="s">
        <v>57</v>
      </c>
      <c r="H532" t="s">
        <v>21</v>
      </c>
      <c r="I532" s="8">
        <v>44197</v>
      </c>
      <c r="J532" s="8"/>
      <c r="K532" t="s">
        <v>22</v>
      </c>
      <c r="L532" s="9">
        <v>34400</v>
      </c>
      <c r="M532" s="10">
        <v>5</v>
      </c>
      <c r="N532" t="s">
        <v>23</v>
      </c>
    </row>
    <row r="533" spans="1:14">
      <c r="A533" t="s">
        <v>1125</v>
      </c>
      <c r="B533" t="s">
        <v>1126</v>
      </c>
      <c r="C533" t="s">
        <v>16</v>
      </c>
      <c r="D533" t="s">
        <v>43</v>
      </c>
      <c r="E533" t="s">
        <v>64</v>
      </c>
      <c r="F533" t="s">
        <v>92</v>
      </c>
      <c r="G533" t="s">
        <v>20</v>
      </c>
      <c r="H533" t="s">
        <v>21</v>
      </c>
      <c r="I533" s="8">
        <v>45218</v>
      </c>
      <c r="J533" s="8"/>
      <c r="K533" t="s">
        <v>22</v>
      </c>
      <c r="L533" s="9">
        <v>37800</v>
      </c>
      <c r="M533" s="10">
        <v>5</v>
      </c>
      <c r="N533" t="s">
        <v>58</v>
      </c>
    </row>
    <row r="534" spans="1:14">
      <c r="A534" t="s">
        <v>1127</v>
      </c>
      <c r="B534" t="s">
        <v>1128</v>
      </c>
      <c r="C534" t="s">
        <v>31</v>
      </c>
      <c r="D534" t="s">
        <v>32</v>
      </c>
      <c r="E534" t="s">
        <v>27</v>
      </c>
      <c r="F534" t="s">
        <v>75</v>
      </c>
      <c r="G534" t="s">
        <v>57</v>
      </c>
      <c r="H534" t="s">
        <v>21</v>
      </c>
      <c r="I534" s="8">
        <v>43793</v>
      </c>
      <c r="J534" s="8"/>
      <c r="K534" t="s">
        <v>22</v>
      </c>
      <c r="L534" s="9">
        <v>46200</v>
      </c>
      <c r="M534" s="10">
        <v>3</v>
      </c>
      <c r="N534" t="s">
        <v>23</v>
      </c>
    </row>
    <row r="535" spans="1:14">
      <c r="A535" t="s">
        <v>1129</v>
      </c>
      <c r="B535" t="s">
        <v>1130</v>
      </c>
      <c r="C535" t="s">
        <v>31</v>
      </c>
      <c r="D535" t="s">
        <v>74</v>
      </c>
      <c r="E535" t="s">
        <v>52</v>
      </c>
      <c r="F535" t="s">
        <v>179</v>
      </c>
      <c r="G535" t="s">
        <v>20</v>
      </c>
      <c r="H535" t="s">
        <v>46</v>
      </c>
      <c r="I535" s="8">
        <v>44975</v>
      </c>
      <c r="J535" s="8"/>
      <c r="K535" t="s">
        <v>22</v>
      </c>
      <c r="L535" s="9">
        <v>43800</v>
      </c>
      <c r="M535" s="10">
        <v>4</v>
      </c>
      <c r="N535" t="s">
        <v>58</v>
      </c>
    </row>
    <row r="536" spans="1:14">
      <c r="A536" t="s">
        <v>1131</v>
      </c>
      <c r="B536" t="s">
        <v>1132</v>
      </c>
      <c r="C536" t="s">
        <v>31</v>
      </c>
      <c r="D536" t="s">
        <v>88</v>
      </c>
      <c r="E536" t="s">
        <v>70</v>
      </c>
      <c r="F536" t="s">
        <v>105</v>
      </c>
      <c r="G536" t="s">
        <v>35</v>
      </c>
      <c r="H536" t="s">
        <v>198</v>
      </c>
      <c r="I536" s="8">
        <v>44169</v>
      </c>
      <c r="J536" s="8">
        <v>45770</v>
      </c>
      <c r="K536" t="s">
        <v>36</v>
      </c>
      <c r="L536" s="9">
        <v>48500</v>
      </c>
      <c r="M536" s="10">
        <v>4</v>
      </c>
      <c r="N536" t="s">
        <v>23</v>
      </c>
    </row>
    <row r="537" spans="1:14">
      <c r="A537" t="s">
        <v>1133</v>
      </c>
      <c r="B537" t="s">
        <v>1134</v>
      </c>
      <c r="C537" t="s">
        <v>16</v>
      </c>
      <c r="D537" t="s">
        <v>32</v>
      </c>
      <c r="E537" t="s">
        <v>44</v>
      </c>
      <c r="F537" t="s">
        <v>133</v>
      </c>
      <c r="G537" t="s">
        <v>40</v>
      </c>
      <c r="H537" t="s">
        <v>21</v>
      </c>
      <c r="I537" s="8">
        <v>44754</v>
      </c>
      <c r="J537" s="8"/>
      <c r="K537" t="s">
        <v>22</v>
      </c>
      <c r="L537" s="9">
        <v>30600</v>
      </c>
      <c r="M537" s="10">
        <v>5</v>
      </c>
      <c r="N537" t="s">
        <v>23</v>
      </c>
    </row>
    <row r="538" spans="1:14">
      <c r="A538" t="s">
        <v>1135</v>
      </c>
      <c r="B538" t="s">
        <v>1136</v>
      </c>
      <c r="C538" t="s">
        <v>31</v>
      </c>
      <c r="D538" t="s">
        <v>43</v>
      </c>
      <c r="E538" t="s">
        <v>64</v>
      </c>
      <c r="F538" t="s">
        <v>92</v>
      </c>
      <c r="G538" t="s">
        <v>40</v>
      </c>
      <c r="H538" t="s">
        <v>21</v>
      </c>
      <c r="I538" s="8">
        <v>43421</v>
      </c>
      <c r="J538" s="8">
        <v>45231</v>
      </c>
      <c r="K538" t="s">
        <v>36</v>
      </c>
      <c r="L538" s="9">
        <v>39100</v>
      </c>
      <c r="M538" s="10">
        <v>2</v>
      </c>
      <c r="N538" t="s">
        <v>58</v>
      </c>
    </row>
    <row r="539" spans="1:14">
      <c r="A539" t="s">
        <v>1137</v>
      </c>
      <c r="B539" t="s">
        <v>1138</v>
      </c>
      <c r="C539" t="s">
        <v>31</v>
      </c>
      <c r="D539" t="s">
        <v>114</v>
      </c>
      <c r="E539" t="s">
        <v>44</v>
      </c>
      <c r="F539" t="s">
        <v>56</v>
      </c>
      <c r="G539" t="s">
        <v>35</v>
      </c>
      <c r="H539" t="s">
        <v>21</v>
      </c>
      <c r="I539" s="8">
        <v>44013</v>
      </c>
      <c r="J539" s="8">
        <v>45976</v>
      </c>
      <c r="K539" t="s">
        <v>36</v>
      </c>
      <c r="L539" s="9">
        <v>30900</v>
      </c>
      <c r="M539" s="10">
        <v>2</v>
      </c>
      <c r="N539" t="s">
        <v>23</v>
      </c>
    </row>
    <row r="540" spans="1:14">
      <c r="A540" t="s">
        <v>1139</v>
      </c>
      <c r="B540" t="s">
        <v>1140</v>
      </c>
      <c r="C540" t="s">
        <v>31</v>
      </c>
      <c r="D540" t="s">
        <v>74</v>
      </c>
      <c r="E540" t="s">
        <v>70</v>
      </c>
      <c r="F540" t="s">
        <v>105</v>
      </c>
      <c r="G540" t="s">
        <v>20</v>
      </c>
      <c r="H540" t="s">
        <v>198</v>
      </c>
      <c r="I540" s="8">
        <v>43206</v>
      </c>
      <c r="J540" s="8"/>
      <c r="K540" t="s">
        <v>22</v>
      </c>
      <c r="L540" s="9">
        <v>31800</v>
      </c>
      <c r="M540" s="10">
        <v>3</v>
      </c>
      <c r="N540" t="s">
        <v>23</v>
      </c>
    </row>
    <row r="541" spans="1:14">
      <c r="A541" t="s">
        <v>1141</v>
      </c>
      <c r="B541" t="s">
        <v>1142</v>
      </c>
      <c r="C541" t="s">
        <v>31</v>
      </c>
      <c r="D541" t="s">
        <v>74</v>
      </c>
      <c r="E541" t="s">
        <v>64</v>
      </c>
      <c r="F541" t="s">
        <v>65</v>
      </c>
      <c r="G541" t="s">
        <v>35</v>
      </c>
      <c r="H541" t="s">
        <v>21</v>
      </c>
      <c r="I541" s="8">
        <v>43770</v>
      </c>
      <c r="J541" s="8">
        <v>43944</v>
      </c>
      <c r="K541" t="s">
        <v>36</v>
      </c>
      <c r="L541" s="9">
        <v>38700</v>
      </c>
      <c r="M541" s="10">
        <v>3</v>
      </c>
      <c r="N541" t="s">
        <v>58</v>
      </c>
    </row>
    <row r="542" spans="1:14">
      <c r="A542" t="s">
        <v>1143</v>
      </c>
      <c r="B542" t="s">
        <v>1144</v>
      </c>
      <c r="C542" t="s">
        <v>31</v>
      </c>
      <c r="D542" t="s">
        <v>88</v>
      </c>
      <c r="E542" t="s">
        <v>18</v>
      </c>
      <c r="F542" t="s">
        <v>19</v>
      </c>
      <c r="G542" t="s">
        <v>20</v>
      </c>
      <c r="H542" t="s">
        <v>21</v>
      </c>
      <c r="I542" s="8">
        <v>43895</v>
      </c>
      <c r="J542" s="8"/>
      <c r="K542" t="s">
        <v>22</v>
      </c>
      <c r="L542" s="9">
        <v>47000</v>
      </c>
      <c r="M542" s="10">
        <v>4</v>
      </c>
      <c r="N542" t="s">
        <v>58</v>
      </c>
    </row>
    <row r="543" spans="1:14">
      <c r="A543" t="s">
        <v>1145</v>
      </c>
      <c r="B543" t="s">
        <v>1146</v>
      </c>
      <c r="C543" t="s">
        <v>16</v>
      </c>
      <c r="D543" t="s">
        <v>32</v>
      </c>
      <c r="E543" t="s">
        <v>18</v>
      </c>
      <c r="F543" t="s">
        <v>19</v>
      </c>
      <c r="G543" t="s">
        <v>57</v>
      </c>
      <c r="H543" t="s">
        <v>21</v>
      </c>
      <c r="I543" s="8">
        <v>45525</v>
      </c>
      <c r="J543" s="8">
        <v>45723</v>
      </c>
      <c r="K543" t="s">
        <v>36</v>
      </c>
      <c r="L543" s="9">
        <v>66300</v>
      </c>
      <c r="M543" s="10">
        <v>2</v>
      </c>
      <c r="N543" t="s">
        <v>23</v>
      </c>
    </row>
    <row r="544" spans="1:14">
      <c r="A544" t="s">
        <v>1147</v>
      </c>
      <c r="B544" t="s">
        <v>1148</v>
      </c>
      <c r="C544" t="s">
        <v>31</v>
      </c>
      <c r="D544" t="s">
        <v>114</v>
      </c>
      <c r="E544" t="s">
        <v>52</v>
      </c>
      <c r="F544" t="s">
        <v>179</v>
      </c>
      <c r="G544" t="s">
        <v>40</v>
      </c>
      <c r="H544" t="s">
        <v>21</v>
      </c>
      <c r="I544" s="8">
        <v>43669</v>
      </c>
      <c r="J544" s="8">
        <v>45140</v>
      </c>
      <c r="K544" t="s">
        <v>36</v>
      </c>
      <c r="L544" s="9">
        <v>43500</v>
      </c>
      <c r="M544" s="10">
        <v>3</v>
      </c>
      <c r="N544" t="s">
        <v>23</v>
      </c>
    </row>
    <row r="545" spans="1:14">
      <c r="A545" t="s">
        <v>1149</v>
      </c>
      <c r="B545" t="s">
        <v>1150</v>
      </c>
      <c r="C545" t="s">
        <v>16</v>
      </c>
      <c r="D545" t="s">
        <v>49</v>
      </c>
      <c r="E545" t="s">
        <v>70</v>
      </c>
      <c r="F545" t="s">
        <v>71</v>
      </c>
      <c r="G545" t="s">
        <v>35</v>
      </c>
      <c r="H545" t="s">
        <v>46</v>
      </c>
      <c r="I545" s="8">
        <v>45681</v>
      </c>
      <c r="J545" s="8"/>
      <c r="K545" t="s">
        <v>22</v>
      </c>
      <c r="L545" s="9">
        <v>27300</v>
      </c>
      <c r="M545" s="10">
        <v>2</v>
      </c>
      <c r="N545" t="s">
        <v>23</v>
      </c>
    </row>
    <row r="546" spans="1:14">
      <c r="A546" t="s">
        <v>1151</v>
      </c>
      <c r="B546" t="s">
        <v>1152</v>
      </c>
      <c r="C546" t="s">
        <v>31</v>
      </c>
      <c r="D546" t="s">
        <v>114</v>
      </c>
      <c r="E546" t="s">
        <v>64</v>
      </c>
      <c r="F546" t="s">
        <v>119</v>
      </c>
      <c r="G546" t="s">
        <v>20</v>
      </c>
      <c r="H546" t="s">
        <v>21</v>
      </c>
      <c r="I546" s="8">
        <v>44642</v>
      </c>
      <c r="J546" s="8">
        <v>44911</v>
      </c>
      <c r="K546" t="s">
        <v>36</v>
      </c>
      <c r="L546" s="9">
        <v>56000</v>
      </c>
      <c r="M546" s="10">
        <v>4</v>
      </c>
      <c r="N546" t="s">
        <v>23</v>
      </c>
    </row>
    <row r="547" spans="1:14">
      <c r="A547" t="s">
        <v>1153</v>
      </c>
      <c r="B547" t="s">
        <v>1154</v>
      </c>
      <c r="C547" t="s">
        <v>31</v>
      </c>
      <c r="D547" t="s">
        <v>43</v>
      </c>
      <c r="E547" t="s">
        <v>18</v>
      </c>
      <c r="F547" t="s">
        <v>19</v>
      </c>
      <c r="G547" t="s">
        <v>35</v>
      </c>
      <c r="H547" t="s">
        <v>21</v>
      </c>
      <c r="I547" s="8">
        <v>43416</v>
      </c>
      <c r="J547" s="8">
        <v>44621</v>
      </c>
      <c r="K547" t="s">
        <v>36</v>
      </c>
      <c r="L547" s="9">
        <v>44100</v>
      </c>
      <c r="M547" s="10">
        <v>5</v>
      </c>
      <c r="N547" t="s">
        <v>23</v>
      </c>
    </row>
    <row r="548" spans="1:14">
      <c r="A548" t="s">
        <v>1155</v>
      </c>
      <c r="B548" t="s">
        <v>1156</v>
      </c>
      <c r="C548" t="s">
        <v>16</v>
      </c>
      <c r="D548" t="s">
        <v>74</v>
      </c>
      <c r="E548" t="s">
        <v>44</v>
      </c>
      <c r="F548" t="s">
        <v>133</v>
      </c>
      <c r="G548" t="s">
        <v>57</v>
      </c>
      <c r="H548" t="s">
        <v>21</v>
      </c>
      <c r="I548" s="8">
        <v>44016</v>
      </c>
      <c r="J548" s="8"/>
      <c r="K548" t="s">
        <v>22</v>
      </c>
      <c r="L548" s="9">
        <v>32500</v>
      </c>
      <c r="M548" s="10">
        <v>2</v>
      </c>
      <c r="N548" t="s">
        <v>23</v>
      </c>
    </row>
    <row r="549" spans="1:14">
      <c r="A549" t="s">
        <v>1157</v>
      </c>
      <c r="B549" t="s">
        <v>1158</v>
      </c>
      <c r="C549" t="s">
        <v>16</v>
      </c>
      <c r="D549" t="s">
        <v>43</v>
      </c>
      <c r="E549" t="s">
        <v>18</v>
      </c>
      <c r="F549" t="s">
        <v>89</v>
      </c>
      <c r="G549" t="s">
        <v>35</v>
      </c>
      <c r="H549" t="s">
        <v>21</v>
      </c>
      <c r="I549" s="8">
        <v>43772</v>
      </c>
      <c r="J549" s="8"/>
      <c r="K549" t="s">
        <v>22</v>
      </c>
      <c r="L549" s="9">
        <v>53300</v>
      </c>
      <c r="M549" s="10">
        <v>4</v>
      </c>
      <c r="N549" t="s">
        <v>58</v>
      </c>
    </row>
    <row r="550" spans="1:14">
      <c r="A550" t="s">
        <v>1159</v>
      </c>
      <c r="B550" t="s">
        <v>1160</v>
      </c>
      <c r="C550" t="s">
        <v>16</v>
      </c>
      <c r="D550" t="s">
        <v>32</v>
      </c>
      <c r="E550" t="s">
        <v>70</v>
      </c>
      <c r="F550" t="s">
        <v>105</v>
      </c>
      <c r="G550" t="s">
        <v>20</v>
      </c>
      <c r="H550" t="s">
        <v>21</v>
      </c>
      <c r="I550" s="8">
        <v>45376</v>
      </c>
      <c r="J550" s="8"/>
      <c r="K550" t="s">
        <v>22</v>
      </c>
      <c r="L550" s="9">
        <v>40300</v>
      </c>
      <c r="M550" s="10">
        <v>5</v>
      </c>
      <c r="N550" t="s">
        <v>58</v>
      </c>
    </row>
    <row r="551" spans="1:14">
      <c r="A551" t="s">
        <v>1161</v>
      </c>
      <c r="B551" t="s">
        <v>1162</v>
      </c>
      <c r="C551" t="s">
        <v>31</v>
      </c>
      <c r="D551" t="s">
        <v>114</v>
      </c>
      <c r="E551" t="s">
        <v>64</v>
      </c>
      <c r="F551" t="s">
        <v>92</v>
      </c>
      <c r="G551" t="s">
        <v>57</v>
      </c>
      <c r="H551" t="s">
        <v>21</v>
      </c>
      <c r="I551" s="8">
        <v>43753</v>
      </c>
      <c r="J551" s="8"/>
      <c r="K551" t="s">
        <v>22</v>
      </c>
      <c r="L551" s="9">
        <v>33800</v>
      </c>
      <c r="M551" s="10">
        <v>3</v>
      </c>
      <c r="N551" t="s">
        <v>23</v>
      </c>
    </row>
    <row r="552" spans="1:14">
      <c r="A552" t="s">
        <v>1163</v>
      </c>
      <c r="B552" t="s">
        <v>1164</v>
      </c>
      <c r="C552" t="s">
        <v>16</v>
      </c>
      <c r="D552" t="s">
        <v>43</v>
      </c>
      <c r="E552" t="s">
        <v>33</v>
      </c>
      <c r="F552" t="s">
        <v>34</v>
      </c>
      <c r="G552" t="s">
        <v>20</v>
      </c>
      <c r="H552" t="s">
        <v>21</v>
      </c>
      <c r="I552" s="8">
        <v>45950</v>
      </c>
      <c r="J552" s="8"/>
      <c r="K552" t="s">
        <v>22</v>
      </c>
      <c r="L552" s="9">
        <v>38900</v>
      </c>
      <c r="M552" s="10">
        <v>4</v>
      </c>
      <c r="N552" t="s">
        <v>58</v>
      </c>
    </row>
    <row r="553" spans="1:14">
      <c r="A553" t="s">
        <v>1165</v>
      </c>
      <c r="B553" t="s">
        <v>1166</v>
      </c>
      <c r="C553" t="s">
        <v>31</v>
      </c>
      <c r="D553" t="s">
        <v>26</v>
      </c>
      <c r="E553" t="s">
        <v>33</v>
      </c>
      <c r="F553" t="s">
        <v>97</v>
      </c>
      <c r="G553" t="s">
        <v>57</v>
      </c>
      <c r="H553" t="s">
        <v>21</v>
      </c>
      <c r="I553" s="8">
        <v>43762</v>
      </c>
      <c r="J553" s="8">
        <v>44869</v>
      </c>
      <c r="K553" t="s">
        <v>36</v>
      </c>
      <c r="L553" s="9">
        <v>38600</v>
      </c>
      <c r="M553" s="10">
        <v>4</v>
      </c>
      <c r="N553" t="s">
        <v>23</v>
      </c>
    </row>
    <row r="554" spans="1:14">
      <c r="A554" t="s">
        <v>1167</v>
      </c>
      <c r="B554" t="s">
        <v>1168</v>
      </c>
      <c r="C554" t="s">
        <v>16</v>
      </c>
      <c r="D554" t="s">
        <v>26</v>
      </c>
      <c r="E554" t="s">
        <v>70</v>
      </c>
      <c r="F554" t="s">
        <v>71</v>
      </c>
      <c r="G554" t="s">
        <v>57</v>
      </c>
      <c r="H554" t="s">
        <v>21</v>
      </c>
      <c r="I554" s="8">
        <v>43183</v>
      </c>
      <c r="J554" s="8">
        <v>45682</v>
      </c>
      <c r="K554" t="s">
        <v>36</v>
      </c>
      <c r="L554" s="9">
        <v>32100</v>
      </c>
      <c r="M554" s="10">
        <v>2</v>
      </c>
      <c r="N554" t="s">
        <v>23</v>
      </c>
    </row>
    <row r="555" spans="1:14">
      <c r="A555" t="s">
        <v>1169</v>
      </c>
      <c r="B555" t="s">
        <v>1170</v>
      </c>
      <c r="C555" t="s">
        <v>16</v>
      </c>
      <c r="D555" t="s">
        <v>74</v>
      </c>
      <c r="E555" t="s">
        <v>64</v>
      </c>
      <c r="F555" t="s">
        <v>119</v>
      </c>
      <c r="G555" t="s">
        <v>40</v>
      </c>
      <c r="H555" t="s">
        <v>46</v>
      </c>
      <c r="I555" s="8">
        <v>45283</v>
      </c>
      <c r="J555" s="8">
        <v>45726</v>
      </c>
      <c r="K555" t="s">
        <v>36</v>
      </c>
      <c r="L555" s="9">
        <v>45800</v>
      </c>
      <c r="M555" s="10">
        <v>4</v>
      </c>
      <c r="N555" t="s">
        <v>58</v>
      </c>
    </row>
    <row r="556" spans="1:14">
      <c r="A556" t="s">
        <v>1171</v>
      </c>
      <c r="B556" t="s">
        <v>1172</v>
      </c>
      <c r="C556" t="s">
        <v>16</v>
      </c>
      <c r="D556" t="s">
        <v>114</v>
      </c>
      <c r="E556" t="s">
        <v>70</v>
      </c>
      <c r="F556" t="s">
        <v>105</v>
      </c>
      <c r="G556" t="s">
        <v>35</v>
      </c>
      <c r="H556" t="s">
        <v>21</v>
      </c>
      <c r="I556" s="8">
        <v>43318</v>
      </c>
      <c r="J556" s="8"/>
      <c r="K556" t="s">
        <v>22</v>
      </c>
      <c r="L556" s="9">
        <v>38500</v>
      </c>
      <c r="M556" s="10">
        <v>3</v>
      </c>
      <c r="N556" t="s">
        <v>23</v>
      </c>
    </row>
    <row r="557" spans="1:14">
      <c r="A557" t="s">
        <v>1173</v>
      </c>
      <c r="B557" t="s">
        <v>1174</v>
      </c>
      <c r="C557" t="s">
        <v>16</v>
      </c>
      <c r="D557" t="s">
        <v>32</v>
      </c>
      <c r="E557" t="s">
        <v>64</v>
      </c>
      <c r="F557" t="s">
        <v>65</v>
      </c>
      <c r="G557" t="s">
        <v>35</v>
      </c>
      <c r="H557" t="s">
        <v>21</v>
      </c>
      <c r="I557" s="8">
        <v>45548</v>
      </c>
      <c r="J557" s="8"/>
      <c r="K557" t="s">
        <v>22</v>
      </c>
      <c r="L557" s="9">
        <v>33600</v>
      </c>
      <c r="M557" s="10">
        <v>3</v>
      </c>
      <c r="N557" t="s">
        <v>58</v>
      </c>
    </row>
    <row r="558" spans="1:14">
      <c r="A558" t="s">
        <v>1175</v>
      </c>
      <c r="B558" t="s">
        <v>1176</v>
      </c>
      <c r="C558" t="s">
        <v>16</v>
      </c>
      <c r="D558" t="s">
        <v>32</v>
      </c>
      <c r="E558" t="s">
        <v>64</v>
      </c>
      <c r="F558" t="s">
        <v>92</v>
      </c>
      <c r="G558" t="s">
        <v>20</v>
      </c>
      <c r="H558" t="s">
        <v>21</v>
      </c>
      <c r="I558" s="8">
        <v>45136</v>
      </c>
      <c r="J558" s="8">
        <v>45590</v>
      </c>
      <c r="K558" t="s">
        <v>36</v>
      </c>
      <c r="L558" s="9">
        <v>36300</v>
      </c>
      <c r="M558" s="10">
        <v>4</v>
      </c>
      <c r="N558" t="s">
        <v>23</v>
      </c>
    </row>
    <row r="559" spans="1:14">
      <c r="A559" t="s">
        <v>1177</v>
      </c>
      <c r="B559" t="s">
        <v>1178</v>
      </c>
      <c r="C559" t="s">
        <v>31</v>
      </c>
      <c r="D559" t="s">
        <v>26</v>
      </c>
      <c r="E559" t="s">
        <v>70</v>
      </c>
      <c r="F559" t="s">
        <v>71</v>
      </c>
      <c r="G559" t="s">
        <v>40</v>
      </c>
      <c r="H559" t="s">
        <v>21</v>
      </c>
      <c r="I559" s="8">
        <v>44728</v>
      </c>
      <c r="J559" s="8">
        <v>45298</v>
      </c>
      <c r="K559" t="s">
        <v>36</v>
      </c>
      <c r="L559" s="9">
        <v>31600</v>
      </c>
      <c r="M559" s="10">
        <v>4</v>
      </c>
      <c r="N559" t="s">
        <v>23</v>
      </c>
    </row>
    <row r="560" spans="1:14">
      <c r="A560" t="s">
        <v>1179</v>
      </c>
      <c r="B560" t="s">
        <v>1180</v>
      </c>
      <c r="C560" t="s">
        <v>16</v>
      </c>
      <c r="D560" t="s">
        <v>26</v>
      </c>
      <c r="E560" t="s">
        <v>52</v>
      </c>
      <c r="F560" t="s">
        <v>126</v>
      </c>
      <c r="G560" t="s">
        <v>35</v>
      </c>
      <c r="H560" t="s">
        <v>21</v>
      </c>
      <c r="I560" s="8">
        <v>43484</v>
      </c>
      <c r="J560" s="8"/>
      <c r="K560" t="s">
        <v>22</v>
      </c>
      <c r="L560" s="9">
        <v>32800</v>
      </c>
      <c r="M560" s="10">
        <v>1</v>
      </c>
      <c r="N560" t="s">
        <v>23</v>
      </c>
    </row>
    <row r="561" spans="1:14">
      <c r="A561" t="s">
        <v>1181</v>
      </c>
      <c r="B561" t="s">
        <v>1182</v>
      </c>
      <c r="C561" t="s">
        <v>31</v>
      </c>
      <c r="D561" t="s">
        <v>17</v>
      </c>
      <c r="E561" t="s">
        <v>33</v>
      </c>
      <c r="F561" t="s">
        <v>97</v>
      </c>
      <c r="G561" t="s">
        <v>35</v>
      </c>
      <c r="H561" t="s">
        <v>21</v>
      </c>
      <c r="I561" s="8">
        <v>45807</v>
      </c>
      <c r="J561" s="8"/>
      <c r="K561" t="s">
        <v>22</v>
      </c>
      <c r="L561" s="9">
        <v>36800</v>
      </c>
      <c r="M561" s="10">
        <v>1</v>
      </c>
      <c r="N561" t="s">
        <v>58</v>
      </c>
    </row>
    <row r="562" spans="1:14">
      <c r="A562" t="s">
        <v>1183</v>
      </c>
      <c r="B562" t="s">
        <v>1184</v>
      </c>
      <c r="C562" t="s">
        <v>31</v>
      </c>
      <c r="D562" t="s">
        <v>74</v>
      </c>
      <c r="E562" t="s">
        <v>18</v>
      </c>
      <c r="F562" t="s">
        <v>89</v>
      </c>
      <c r="G562" t="s">
        <v>35</v>
      </c>
      <c r="H562" t="s">
        <v>21</v>
      </c>
      <c r="I562" s="8">
        <v>45868</v>
      </c>
      <c r="J562" s="8"/>
      <c r="K562" t="s">
        <v>22</v>
      </c>
      <c r="L562" s="9">
        <v>65100</v>
      </c>
      <c r="M562" s="10">
        <v>4</v>
      </c>
      <c r="N562" t="s">
        <v>23</v>
      </c>
    </row>
    <row r="563" spans="1:14">
      <c r="A563" t="s">
        <v>1185</v>
      </c>
      <c r="B563" t="s">
        <v>1186</v>
      </c>
      <c r="C563" t="s">
        <v>31</v>
      </c>
      <c r="D563" t="s">
        <v>32</v>
      </c>
      <c r="E563" t="s">
        <v>18</v>
      </c>
      <c r="F563" t="s">
        <v>39</v>
      </c>
      <c r="G563" t="s">
        <v>35</v>
      </c>
      <c r="H563" t="s">
        <v>21</v>
      </c>
      <c r="I563" s="8">
        <v>45623</v>
      </c>
      <c r="J563" s="8">
        <v>45933</v>
      </c>
      <c r="K563" t="s">
        <v>36</v>
      </c>
      <c r="L563" s="9">
        <v>65700</v>
      </c>
      <c r="M563" s="10">
        <v>4</v>
      </c>
      <c r="N563" t="s">
        <v>23</v>
      </c>
    </row>
    <row r="564" spans="1:14">
      <c r="A564" t="s">
        <v>1187</v>
      </c>
      <c r="B564" t="s">
        <v>1188</v>
      </c>
      <c r="C564" t="s">
        <v>31</v>
      </c>
      <c r="D564" t="s">
        <v>26</v>
      </c>
      <c r="E564" t="s">
        <v>27</v>
      </c>
      <c r="F564" t="s">
        <v>75</v>
      </c>
      <c r="G564" t="s">
        <v>35</v>
      </c>
      <c r="H564" t="s">
        <v>21</v>
      </c>
      <c r="I564" s="8">
        <v>43950</v>
      </c>
      <c r="J564" s="8"/>
      <c r="K564" t="s">
        <v>22</v>
      </c>
      <c r="L564" s="9">
        <v>52900</v>
      </c>
      <c r="M564" s="10">
        <v>4</v>
      </c>
      <c r="N564" t="s">
        <v>23</v>
      </c>
    </row>
    <row r="565" spans="1:14">
      <c r="A565" t="s">
        <v>1189</v>
      </c>
      <c r="B565" t="s">
        <v>1190</v>
      </c>
      <c r="C565" t="s">
        <v>31</v>
      </c>
      <c r="D565" t="s">
        <v>74</v>
      </c>
      <c r="E565" t="s">
        <v>18</v>
      </c>
      <c r="F565" t="s">
        <v>19</v>
      </c>
      <c r="G565" t="s">
        <v>20</v>
      </c>
      <c r="H565" t="s">
        <v>21</v>
      </c>
      <c r="I565" s="8">
        <v>43112</v>
      </c>
      <c r="J565" s="8">
        <v>45580</v>
      </c>
      <c r="K565" t="s">
        <v>36</v>
      </c>
      <c r="L565" s="9">
        <v>50400</v>
      </c>
      <c r="M565" s="10">
        <v>4</v>
      </c>
      <c r="N565" t="s">
        <v>23</v>
      </c>
    </row>
    <row r="566" spans="1:14">
      <c r="A566" t="s">
        <v>1191</v>
      </c>
      <c r="B566" t="s">
        <v>1192</v>
      </c>
      <c r="C566" t="s">
        <v>16</v>
      </c>
      <c r="D566" t="s">
        <v>32</v>
      </c>
      <c r="E566" t="s">
        <v>70</v>
      </c>
      <c r="F566" t="s">
        <v>71</v>
      </c>
      <c r="G566" t="s">
        <v>35</v>
      </c>
      <c r="H566" t="s">
        <v>21</v>
      </c>
      <c r="I566" s="8">
        <v>45107</v>
      </c>
      <c r="J566" s="8"/>
      <c r="K566" t="s">
        <v>22</v>
      </c>
      <c r="L566" s="9">
        <v>32600</v>
      </c>
      <c r="M566" s="10">
        <v>4</v>
      </c>
      <c r="N566" t="s">
        <v>23</v>
      </c>
    </row>
    <row r="567" spans="1:14">
      <c r="A567" t="s">
        <v>1193</v>
      </c>
      <c r="B567" t="s">
        <v>1194</v>
      </c>
      <c r="C567" t="s">
        <v>16</v>
      </c>
      <c r="D567" t="s">
        <v>17</v>
      </c>
      <c r="E567" t="s">
        <v>64</v>
      </c>
      <c r="F567" t="s">
        <v>92</v>
      </c>
      <c r="G567" t="s">
        <v>20</v>
      </c>
      <c r="H567" t="s">
        <v>21</v>
      </c>
      <c r="I567" s="8">
        <v>45498</v>
      </c>
      <c r="J567" s="8"/>
      <c r="K567" t="s">
        <v>22</v>
      </c>
      <c r="L567" s="9">
        <v>30700</v>
      </c>
      <c r="M567" s="10">
        <v>3</v>
      </c>
      <c r="N567" t="s">
        <v>23</v>
      </c>
    </row>
    <row r="568" spans="1:14">
      <c r="A568" t="s">
        <v>1195</v>
      </c>
      <c r="B568" t="s">
        <v>1196</v>
      </c>
      <c r="C568" t="s">
        <v>31</v>
      </c>
      <c r="D568" t="s">
        <v>32</v>
      </c>
      <c r="E568" t="s">
        <v>70</v>
      </c>
      <c r="F568" t="s">
        <v>71</v>
      </c>
      <c r="G568" t="s">
        <v>57</v>
      </c>
      <c r="H568" t="s">
        <v>21</v>
      </c>
      <c r="I568" s="8">
        <v>45350</v>
      </c>
      <c r="J568" s="8">
        <v>45551</v>
      </c>
      <c r="K568" t="s">
        <v>36</v>
      </c>
      <c r="L568" s="9">
        <v>32700</v>
      </c>
      <c r="M568" s="10">
        <v>3</v>
      </c>
      <c r="N568" t="s">
        <v>23</v>
      </c>
    </row>
    <row r="569" spans="1:14">
      <c r="A569" t="s">
        <v>1197</v>
      </c>
      <c r="B569" t="s">
        <v>1198</v>
      </c>
      <c r="C569" t="s">
        <v>16</v>
      </c>
      <c r="D569" t="s">
        <v>49</v>
      </c>
      <c r="E569" t="s">
        <v>18</v>
      </c>
      <c r="F569" t="s">
        <v>19</v>
      </c>
      <c r="G569" t="s">
        <v>20</v>
      </c>
      <c r="H569" t="s">
        <v>21</v>
      </c>
      <c r="I569" s="8">
        <v>44552</v>
      </c>
      <c r="J569" s="8"/>
      <c r="K569" t="s">
        <v>22</v>
      </c>
      <c r="L569" s="9">
        <v>52200</v>
      </c>
      <c r="M569" s="10">
        <v>5</v>
      </c>
      <c r="N569" t="s">
        <v>23</v>
      </c>
    </row>
    <row r="570" spans="1:14">
      <c r="A570" t="s">
        <v>1199</v>
      </c>
      <c r="B570" t="s">
        <v>1200</v>
      </c>
      <c r="C570" t="s">
        <v>31</v>
      </c>
      <c r="D570" t="s">
        <v>114</v>
      </c>
      <c r="E570" t="s">
        <v>64</v>
      </c>
      <c r="F570" t="s">
        <v>92</v>
      </c>
      <c r="G570" t="s">
        <v>57</v>
      </c>
      <c r="H570" t="s">
        <v>21</v>
      </c>
      <c r="I570" s="8">
        <v>43781</v>
      </c>
      <c r="J570" s="8"/>
      <c r="K570" t="s">
        <v>22</v>
      </c>
      <c r="L570" s="9">
        <v>36900</v>
      </c>
      <c r="M570" s="10">
        <v>2</v>
      </c>
      <c r="N570" t="s">
        <v>23</v>
      </c>
    </row>
    <row r="571" spans="1:14">
      <c r="A571" t="s">
        <v>1201</v>
      </c>
      <c r="B571" t="s">
        <v>1202</v>
      </c>
      <c r="C571" t="s">
        <v>31</v>
      </c>
      <c r="D571" t="s">
        <v>43</v>
      </c>
      <c r="E571" t="s">
        <v>64</v>
      </c>
      <c r="F571" t="s">
        <v>92</v>
      </c>
      <c r="G571" t="s">
        <v>57</v>
      </c>
      <c r="H571" t="s">
        <v>21</v>
      </c>
      <c r="I571" s="8">
        <v>43506</v>
      </c>
      <c r="J571" s="8"/>
      <c r="K571" t="s">
        <v>22</v>
      </c>
      <c r="L571" s="9">
        <v>27900</v>
      </c>
      <c r="M571" s="10">
        <v>4</v>
      </c>
      <c r="N571" t="s">
        <v>23</v>
      </c>
    </row>
    <row r="572" spans="1:14">
      <c r="A572" t="s">
        <v>1203</v>
      </c>
      <c r="B572" t="s">
        <v>1204</v>
      </c>
      <c r="C572" t="s">
        <v>31</v>
      </c>
      <c r="D572" t="s">
        <v>43</v>
      </c>
      <c r="E572" t="s">
        <v>18</v>
      </c>
      <c r="F572" t="s">
        <v>39</v>
      </c>
      <c r="G572" t="s">
        <v>20</v>
      </c>
      <c r="H572" t="s">
        <v>21</v>
      </c>
      <c r="I572" s="8">
        <v>45284</v>
      </c>
      <c r="J572" s="8"/>
      <c r="K572" t="s">
        <v>22</v>
      </c>
      <c r="L572" s="9">
        <v>59600</v>
      </c>
      <c r="M572" s="10">
        <v>1</v>
      </c>
      <c r="N572" t="s">
        <v>23</v>
      </c>
    </row>
    <row r="573" spans="1:14">
      <c r="A573" t="s">
        <v>1205</v>
      </c>
      <c r="B573" t="s">
        <v>1206</v>
      </c>
      <c r="C573" t="s">
        <v>16</v>
      </c>
      <c r="D573" t="s">
        <v>17</v>
      </c>
      <c r="E573" t="s">
        <v>64</v>
      </c>
      <c r="F573" t="s">
        <v>65</v>
      </c>
      <c r="G573" t="s">
        <v>40</v>
      </c>
      <c r="H573" t="s">
        <v>21</v>
      </c>
      <c r="I573" s="8">
        <v>43167</v>
      </c>
      <c r="J573" s="8">
        <v>44133</v>
      </c>
      <c r="K573" t="s">
        <v>36</v>
      </c>
      <c r="L573" s="9">
        <v>37800</v>
      </c>
      <c r="M573" s="10">
        <v>4</v>
      </c>
      <c r="N573" t="s">
        <v>23</v>
      </c>
    </row>
    <row r="574" spans="1:14">
      <c r="A574" t="s">
        <v>1207</v>
      </c>
      <c r="B574" t="s">
        <v>1208</v>
      </c>
      <c r="C574" t="s">
        <v>31</v>
      </c>
      <c r="D574" t="s">
        <v>88</v>
      </c>
      <c r="E574" t="s">
        <v>64</v>
      </c>
      <c r="F574" t="s">
        <v>92</v>
      </c>
      <c r="G574" t="s">
        <v>35</v>
      </c>
      <c r="H574" t="s">
        <v>198</v>
      </c>
      <c r="I574" s="8">
        <v>45516</v>
      </c>
      <c r="J574" s="8"/>
      <c r="K574" t="s">
        <v>22</v>
      </c>
      <c r="L574" s="9">
        <v>38200</v>
      </c>
      <c r="M574" s="10">
        <v>5</v>
      </c>
      <c r="N574" t="s">
        <v>23</v>
      </c>
    </row>
    <row r="575" spans="1:14">
      <c r="A575" t="s">
        <v>1209</v>
      </c>
      <c r="B575" t="s">
        <v>1210</v>
      </c>
      <c r="C575" t="s">
        <v>16</v>
      </c>
      <c r="D575" t="s">
        <v>74</v>
      </c>
      <c r="E575" t="s">
        <v>44</v>
      </c>
      <c r="F575" t="s">
        <v>56</v>
      </c>
      <c r="G575" t="s">
        <v>40</v>
      </c>
      <c r="H575" t="s">
        <v>46</v>
      </c>
      <c r="I575" s="8">
        <v>43750</v>
      </c>
      <c r="J575" s="8"/>
      <c r="K575" t="s">
        <v>22</v>
      </c>
      <c r="L575" s="9">
        <v>22900</v>
      </c>
      <c r="M575" s="10">
        <v>4</v>
      </c>
      <c r="N575" t="s">
        <v>23</v>
      </c>
    </row>
    <row r="576" spans="1:14">
      <c r="A576" t="s">
        <v>1211</v>
      </c>
      <c r="B576" t="s">
        <v>1212</v>
      </c>
      <c r="C576" t="s">
        <v>16</v>
      </c>
      <c r="D576" t="s">
        <v>88</v>
      </c>
      <c r="E576" t="s">
        <v>70</v>
      </c>
      <c r="F576" t="s">
        <v>71</v>
      </c>
      <c r="G576" t="s">
        <v>40</v>
      </c>
      <c r="H576" t="s">
        <v>21</v>
      </c>
      <c r="I576" s="8">
        <v>44549</v>
      </c>
      <c r="J576" s="8"/>
      <c r="K576" t="s">
        <v>22</v>
      </c>
      <c r="L576" s="9">
        <v>36200</v>
      </c>
      <c r="M576" s="10">
        <v>3</v>
      </c>
      <c r="N576" t="s">
        <v>23</v>
      </c>
    </row>
    <row r="577" spans="1:14">
      <c r="A577" t="s">
        <v>1213</v>
      </c>
      <c r="B577" t="s">
        <v>1214</v>
      </c>
      <c r="C577" t="s">
        <v>16</v>
      </c>
      <c r="D577" t="s">
        <v>26</v>
      </c>
      <c r="E577" t="s">
        <v>44</v>
      </c>
      <c r="F577" t="s">
        <v>45</v>
      </c>
      <c r="G577" t="s">
        <v>57</v>
      </c>
      <c r="H577" t="s">
        <v>21</v>
      </c>
      <c r="I577" s="8">
        <v>43427</v>
      </c>
      <c r="J577" s="8"/>
      <c r="K577" t="s">
        <v>22</v>
      </c>
      <c r="L577" s="9">
        <v>43400</v>
      </c>
      <c r="M577" s="10">
        <v>4</v>
      </c>
      <c r="N577" t="s">
        <v>23</v>
      </c>
    </row>
    <row r="578" spans="1:14">
      <c r="A578" t="s">
        <v>1215</v>
      </c>
      <c r="B578" t="s">
        <v>1216</v>
      </c>
      <c r="C578" t="s">
        <v>16</v>
      </c>
      <c r="D578" t="s">
        <v>88</v>
      </c>
      <c r="E578" t="s">
        <v>33</v>
      </c>
      <c r="F578" t="s">
        <v>34</v>
      </c>
      <c r="G578" t="s">
        <v>57</v>
      </c>
      <c r="H578" t="s">
        <v>46</v>
      </c>
      <c r="I578" s="8">
        <v>44595</v>
      </c>
      <c r="J578" s="8"/>
      <c r="K578" t="s">
        <v>22</v>
      </c>
      <c r="L578" s="9">
        <v>31500</v>
      </c>
      <c r="M578" s="10">
        <v>4</v>
      </c>
      <c r="N578" t="s">
        <v>23</v>
      </c>
    </row>
    <row r="579" spans="1:14">
      <c r="A579" t="s">
        <v>1217</v>
      </c>
      <c r="B579" t="s">
        <v>1218</v>
      </c>
      <c r="C579" t="s">
        <v>16</v>
      </c>
      <c r="D579" t="s">
        <v>74</v>
      </c>
      <c r="E579" t="s">
        <v>64</v>
      </c>
      <c r="F579" t="s">
        <v>92</v>
      </c>
      <c r="G579" t="s">
        <v>57</v>
      </c>
      <c r="H579" t="s">
        <v>21</v>
      </c>
      <c r="I579" s="8">
        <v>45282</v>
      </c>
      <c r="J579" s="8"/>
      <c r="K579" t="s">
        <v>22</v>
      </c>
      <c r="L579" s="9">
        <v>31100</v>
      </c>
      <c r="M579" s="10">
        <v>4</v>
      </c>
      <c r="N579" t="s">
        <v>58</v>
      </c>
    </row>
    <row r="580" spans="1:14">
      <c r="A580" t="s">
        <v>1219</v>
      </c>
      <c r="B580" t="s">
        <v>1220</v>
      </c>
      <c r="C580" t="s">
        <v>16</v>
      </c>
      <c r="D580" t="s">
        <v>88</v>
      </c>
      <c r="E580" t="s">
        <v>70</v>
      </c>
      <c r="F580" t="s">
        <v>102</v>
      </c>
      <c r="G580" t="s">
        <v>40</v>
      </c>
      <c r="H580" t="s">
        <v>21</v>
      </c>
      <c r="I580" s="8">
        <v>43955</v>
      </c>
      <c r="J580" s="8">
        <v>45903</v>
      </c>
      <c r="K580" t="s">
        <v>36</v>
      </c>
      <c r="L580" s="9">
        <v>26200</v>
      </c>
      <c r="M580" s="10">
        <v>3</v>
      </c>
      <c r="N580" t="s">
        <v>58</v>
      </c>
    </row>
    <row r="581" spans="1:14">
      <c r="A581" t="s">
        <v>1221</v>
      </c>
      <c r="B581" t="s">
        <v>1222</v>
      </c>
      <c r="C581" t="s">
        <v>31</v>
      </c>
      <c r="D581" t="s">
        <v>43</v>
      </c>
      <c r="E581" t="s">
        <v>27</v>
      </c>
      <c r="F581" t="s">
        <v>61</v>
      </c>
      <c r="G581" t="s">
        <v>20</v>
      </c>
      <c r="H581" t="s">
        <v>21</v>
      </c>
      <c r="I581" s="8">
        <v>44979</v>
      </c>
      <c r="J581" s="8"/>
      <c r="K581" t="s">
        <v>22</v>
      </c>
      <c r="L581" s="9">
        <v>49900</v>
      </c>
      <c r="M581" s="10">
        <v>3</v>
      </c>
      <c r="N581" t="s">
        <v>23</v>
      </c>
    </row>
    <row r="582" spans="1:14">
      <c r="A582" t="s">
        <v>1223</v>
      </c>
      <c r="B582" t="s">
        <v>1224</v>
      </c>
      <c r="C582" t="s">
        <v>16</v>
      </c>
      <c r="D582" t="s">
        <v>43</v>
      </c>
      <c r="E582" t="s">
        <v>18</v>
      </c>
      <c r="F582" t="s">
        <v>89</v>
      </c>
      <c r="G582" t="s">
        <v>20</v>
      </c>
      <c r="H582" t="s">
        <v>21</v>
      </c>
      <c r="I582" s="8">
        <v>45487</v>
      </c>
      <c r="J582" s="8"/>
      <c r="K582" t="s">
        <v>22</v>
      </c>
      <c r="L582" s="9">
        <v>71600</v>
      </c>
      <c r="M582" s="10">
        <v>3</v>
      </c>
      <c r="N582" t="s">
        <v>58</v>
      </c>
    </row>
    <row r="583" spans="1:14">
      <c r="A583" t="s">
        <v>1225</v>
      </c>
      <c r="B583" t="s">
        <v>1226</v>
      </c>
      <c r="C583" t="s">
        <v>16</v>
      </c>
      <c r="D583" t="s">
        <v>74</v>
      </c>
      <c r="E583" t="s">
        <v>44</v>
      </c>
      <c r="F583" t="s">
        <v>56</v>
      </c>
      <c r="G583" t="s">
        <v>35</v>
      </c>
      <c r="H583" t="s">
        <v>21</v>
      </c>
      <c r="I583" s="8">
        <v>44688</v>
      </c>
      <c r="J583" s="8"/>
      <c r="K583" t="s">
        <v>22</v>
      </c>
      <c r="L583" s="9">
        <v>30200</v>
      </c>
      <c r="M583" s="10">
        <v>4</v>
      </c>
      <c r="N583" t="s">
        <v>58</v>
      </c>
    </row>
    <row r="584" spans="1:14">
      <c r="A584" t="s">
        <v>1227</v>
      </c>
      <c r="B584" t="s">
        <v>1228</v>
      </c>
      <c r="C584" t="s">
        <v>16</v>
      </c>
      <c r="D584" t="s">
        <v>114</v>
      </c>
      <c r="E584" t="s">
        <v>27</v>
      </c>
      <c r="F584" t="s">
        <v>61</v>
      </c>
      <c r="G584" t="s">
        <v>35</v>
      </c>
      <c r="H584" t="s">
        <v>46</v>
      </c>
      <c r="I584" s="8">
        <v>44546</v>
      </c>
      <c r="J584" s="8"/>
      <c r="K584" t="s">
        <v>22</v>
      </c>
      <c r="L584" s="9">
        <v>54000</v>
      </c>
      <c r="M584" s="10">
        <v>3</v>
      </c>
      <c r="N584" t="s">
        <v>23</v>
      </c>
    </row>
    <row r="585" spans="1:14">
      <c r="A585" t="s">
        <v>1229</v>
      </c>
      <c r="B585" t="s">
        <v>1230</v>
      </c>
      <c r="C585" t="s">
        <v>16</v>
      </c>
      <c r="D585" t="s">
        <v>32</v>
      </c>
      <c r="E585" t="s">
        <v>44</v>
      </c>
      <c r="F585" t="s">
        <v>133</v>
      </c>
      <c r="G585" t="s">
        <v>35</v>
      </c>
      <c r="H585" t="s">
        <v>21</v>
      </c>
      <c r="I585" s="8">
        <v>43523</v>
      </c>
      <c r="J585" s="8"/>
      <c r="K585" t="s">
        <v>22</v>
      </c>
      <c r="L585" s="9">
        <v>33400</v>
      </c>
      <c r="M585" s="10">
        <v>4</v>
      </c>
      <c r="N585" t="s">
        <v>58</v>
      </c>
    </row>
    <row r="586" spans="1:14">
      <c r="A586" t="s">
        <v>1231</v>
      </c>
      <c r="B586" t="s">
        <v>1232</v>
      </c>
      <c r="C586" t="s">
        <v>16</v>
      </c>
      <c r="D586" t="s">
        <v>49</v>
      </c>
      <c r="E586" t="s">
        <v>18</v>
      </c>
      <c r="F586" t="s">
        <v>89</v>
      </c>
      <c r="G586" t="s">
        <v>40</v>
      </c>
      <c r="H586" t="s">
        <v>21</v>
      </c>
      <c r="I586" s="8">
        <v>43478</v>
      </c>
      <c r="J586" s="8"/>
      <c r="K586" t="s">
        <v>22</v>
      </c>
      <c r="L586" s="9">
        <v>56600</v>
      </c>
      <c r="M586" s="10">
        <v>4</v>
      </c>
      <c r="N586" t="s">
        <v>23</v>
      </c>
    </row>
    <row r="587" spans="1:14">
      <c r="A587" t="s">
        <v>1233</v>
      </c>
      <c r="B587" t="s">
        <v>1234</v>
      </c>
      <c r="C587" t="s">
        <v>16</v>
      </c>
      <c r="D587" t="s">
        <v>49</v>
      </c>
      <c r="E587" t="s">
        <v>70</v>
      </c>
      <c r="F587" t="s">
        <v>102</v>
      </c>
      <c r="G587" t="s">
        <v>35</v>
      </c>
      <c r="H587" t="s">
        <v>21</v>
      </c>
      <c r="I587" s="8">
        <v>44591</v>
      </c>
      <c r="J587" s="8"/>
      <c r="K587" t="s">
        <v>22</v>
      </c>
      <c r="L587" s="9">
        <v>32300</v>
      </c>
      <c r="M587" s="10">
        <v>1</v>
      </c>
      <c r="N587" t="s">
        <v>58</v>
      </c>
    </row>
    <row r="588" spans="1:14">
      <c r="A588" t="s">
        <v>1235</v>
      </c>
      <c r="B588" t="s">
        <v>1236</v>
      </c>
      <c r="C588" t="s">
        <v>16</v>
      </c>
      <c r="D588" t="s">
        <v>88</v>
      </c>
      <c r="E588" t="s">
        <v>70</v>
      </c>
      <c r="F588" t="s">
        <v>102</v>
      </c>
      <c r="G588" t="s">
        <v>35</v>
      </c>
      <c r="H588" t="s">
        <v>21</v>
      </c>
      <c r="I588" s="8">
        <v>43522</v>
      </c>
      <c r="J588" s="8"/>
      <c r="K588" t="s">
        <v>22</v>
      </c>
      <c r="L588" s="9">
        <v>38500</v>
      </c>
      <c r="M588" s="10">
        <v>1</v>
      </c>
      <c r="N588" t="s">
        <v>23</v>
      </c>
    </row>
    <row r="589" spans="1:14">
      <c r="A589" t="s">
        <v>1237</v>
      </c>
      <c r="B589" t="s">
        <v>1238</v>
      </c>
      <c r="C589" t="s">
        <v>31</v>
      </c>
      <c r="D589" t="s">
        <v>32</v>
      </c>
      <c r="E589" t="s">
        <v>44</v>
      </c>
      <c r="F589" t="s">
        <v>45</v>
      </c>
      <c r="G589" t="s">
        <v>57</v>
      </c>
      <c r="H589" t="s">
        <v>21</v>
      </c>
      <c r="I589" s="8">
        <v>45120</v>
      </c>
      <c r="J589" s="8"/>
      <c r="K589" t="s">
        <v>22</v>
      </c>
      <c r="L589" s="9">
        <v>35900</v>
      </c>
      <c r="M589" s="10">
        <v>4</v>
      </c>
      <c r="N589" t="s">
        <v>23</v>
      </c>
    </row>
    <row r="590" spans="1:14">
      <c r="A590" t="s">
        <v>1239</v>
      </c>
      <c r="B590" t="s">
        <v>1240</v>
      </c>
      <c r="C590" t="s">
        <v>16</v>
      </c>
      <c r="D590" t="s">
        <v>17</v>
      </c>
      <c r="E590" t="s">
        <v>70</v>
      </c>
      <c r="F590" t="s">
        <v>102</v>
      </c>
      <c r="G590" t="s">
        <v>20</v>
      </c>
      <c r="H590" t="s">
        <v>21</v>
      </c>
      <c r="I590" s="8">
        <v>44844</v>
      </c>
      <c r="J590" s="8"/>
      <c r="K590" t="s">
        <v>22</v>
      </c>
      <c r="L590" s="9">
        <v>27700</v>
      </c>
      <c r="M590" s="10">
        <v>3</v>
      </c>
      <c r="N590" t="s">
        <v>23</v>
      </c>
    </row>
    <row r="591" spans="1:14">
      <c r="A591" t="s">
        <v>1241</v>
      </c>
      <c r="B591" t="s">
        <v>1242</v>
      </c>
      <c r="C591" t="s">
        <v>16</v>
      </c>
      <c r="D591" t="s">
        <v>88</v>
      </c>
      <c r="E591" t="s">
        <v>33</v>
      </c>
      <c r="F591" t="s">
        <v>97</v>
      </c>
      <c r="G591" t="s">
        <v>57</v>
      </c>
      <c r="H591" t="s">
        <v>21</v>
      </c>
      <c r="I591" s="8">
        <v>45634</v>
      </c>
      <c r="J591" s="8"/>
      <c r="K591" t="s">
        <v>22</v>
      </c>
      <c r="L591" s="9">
        <v>37600</v>
      </c>
      <c r="M591" s="10">
        <v>3</v>
      </c>
      <c r="N591" t="s">
        <v>58</v>
      </c>
    </row>
    <row r="592" spans="1:14">
      <c r="A592" t="s">
        <v>1243</v>
      </c>
      <c r="B592" t="s">
        <v>1244</v>
      </c>
      <c r="C592" t="s">
        <v>31</v>
      </c>
      <c r="D592" t="s">
        <v>17</v>
      </c>
      <c r="E592" t="s">
        <v>44</v>
      </c>
      <c r="F592" t="s">
        <v>45</v>
      </c>
      <c r="G592" t="s">
        <v>40</v>
      </c>
      <c r="H592" t="s">
        <v>21</v>
      </c>
      <c r="I592" s="8">
        <v>45912</v>
      </c>
      <c r="J592" s="8"/>
      <c r="K592" t="s">
        <v>22</v>
      </c>
      <c r="L592" s="9">
        <v>41700</v>
      </c>
      <c r="M592" s="10">
        <v>3</v>
      </c>
      <c r="N592" t="s">
        <v>23</v>
      </c>
    </row>
    <row r="593" spans="1:14">
      <c r="A593" t="s">
        <v>1245</v>
      </c>
      <c r="B593" t="s">
        <v>1246</v>
      </c>
      <c r="C593" t="s">
        <v>16</v>
      </c>
      <c r="D593" t="s">
        <v>49</v>
      </c>
      <c r="E593" t="s">
        <v>27</v>
      </c>
      <c r="F593" t="s">
        <v>28</v>
      </c>
      <c r="G593" t="s">
        <v>35</v>
      </c>
      <c r="H593" t="s">
        <v>21</v>
      </c>
      <c r="I593" s="8">
        <v>43209</v>
      </c>
      <c r="J593" s="8"/>
      <c r="K593" t="s">
        <v>22</v>
      </c>
      <c r="L593" s="9">
        <v>45500</v>
      </c>
      <c r="M593" s="10">
        <v>3</v>
      </c>
      <c r="N593" t="s">
        <v>23</v>
      </c>
    </row>
    <row r="594" spans="1:14">
      <c r="A594" t="s">
        <v>1247</v>
      </c>
      <c r="B594" t="s">
        <v>1248</v>
      </c>
      <c r="C594" t="s">
        <v>31</v>
      </c>
      <c r="D594" t="s">
        <v>26</v>
      </c>
      <c r="E594" t="s">
        <v>44</v>
      </c>
      <c r="F594" t="s">
        <v>56</v>
      </c>
      <c r="G594" t="s">
        <v>20</v>
      </c>
      <c r="H594" t="s">
        <v>21</v>
      </c>
      <c r="I594" s="8">
        <v>43372</v>
      </c>
      <c r="J594" s="8"/>
      <c r="K594" t="s">
        <v>22</v>
      </c>
      <c r="L594" s="9">
        <v>38000</v>
      </c>
      <c r="M594" s="10">
        <v>3</v>
      </c>
      <c r="N594" t="s">
        <v>58</v>
      </c>
    </row>
    <row r="595" spans="1:14">
      <c r="A595" t="s">
        <v>1249</v>
      </c>
      <c r="B595" t="s">
        <v>1250</v>
      </c>
      <c r="C595" t="s">
        <v>31</v>
      </c>
      <c r="D595" t="s">
        <v>26</v>
      </c>
      <c r="E595" t="s">
        <v>33</v>
      </c>
      <c r="F595" t="s">
        <v>97</v>
      </c>
      <c r="G595" t="s">
        <v>57</v>
      </c>
      <c r="H595" t="s">
        <v>21</v>
      </c>
      <c r="I595" s="8">
        <v>43235</v>
      </c>
      <c r="J595" s="8"/>
      <c r="K595" t="s">
        <v>22</v>
      </c>
      <c r="L595" s="9">
        <v>25600</v>
      </c>
      <c r="M595" s="10">
        <v>3</v>
      </c>
      <c r="N595" t="s">
        <v>23</v>
      </c>
    </row>
    <row r="596" spans="1:14">
      <c r="A596" t="s">
        <v>1251</v>
      </c>
      <c r="B596" t="s">
        <v>1252</v>
      </c>
      <c r="C596" t="s">
        <v>16</v>
      </c>
      <c r="D596" t="s">
        <v>32</v>
      </c>
      <c r="E596" t="s">
        <v>64</v>
      </c>
      <c r="F596" t="s">
        <v>65</v>
      </c>
      <c r="G596" t="s">
        <v>35</v>
      </c>
      <c r="H596" t="s">
        <v>21</v>
      </c>
      <c r="I596" s="8">
        <v>43850</v>
      </c>
      <c r="J596" s="8"/>
      <c r="K596" t="s">
        <v>22</v>
      </c>
      <c r="L596" s="9">
        <v>37300</v>
      </c>
      <c r="M596" s="10">
        <v>3</v>
      </c>
      <c r="N596" t="s">
        <v>23</v>
      </c>
    </row>
    <row r="597" spans="1:14">
      <c r="A597" t="s">
        <v>1253</v>
      </c>
      <c r="B597" t="s">
        <v>1254</v>
      </c>
      <c r="C597" t="s">
        <v>16</v>
      </c>
      <c r="D597" t="s">
        <v>43</v>
      </c>
      <c r="E597" t="s">
        <v>70</v>
      </c>
      <c r="F597" t="s">
        <v>71</v>
      </c>
      <c r="G597" t="s">
        <v>57</v>
      </c>
      <c r="H597" t="s">
        <v>21</v>
      </c>
      <c r="I597" s="8">
        <v>43977</v>
      </c>
      <c r="J597" s="8"/>
      <c r="K597" t="s">
        <v>22</v>
      </c>
      <c r="L597" s="9">
        <v>26300</v>
      </c>
      <c r="M597" s="10">
        <v>3</v>
      </c>
      <c r="N597" t="s">
        <v>58</v>
      </c>
    </row>
    <row r="598" spans="1:14">
      <c r="A598" t="s">
        <v>1255</v>
      </c>
      <c r="B598" t="s">
        <v>1256</v>
      </c>
      <c r="C598" t="s">
        <v>31</v>
      </c>
      <c r="D598" t="s">
        <v>114</v>
      </c>
      <c r="E598" t="s">
        <v>33</v>
      </c>
      <c r="F598" t="s">
        <v>148</v>
      </c>
      <c r="G598" t="s">
        <v>40</v>
      </c>
      <c r="H598" t="s">
        <v>21</v>
      </c>
      <c r="I598" s="8">
        <v>43632</v>
      </c>
      <c r="J598" s="8">
        <v>45472</v>
      </c>
      <c r="K598" t="s">
        <v>36</v>
      </c>
      <c r="L598" s="9">
        <v>47600</v>
      </c>
      <c r="M598" s="10">
        <v>4</v>
      </c>
      <c r="N598" t="s">
        <v>23</v>
      </c>
    </row>
    <row r="599" spans="1:14">
      <c r="A599" t="s">
        <v>1257</v>
      </c>
      <c r="B599" t="s">
        <v>1258</v>
      </c>
      <c r="C599" t="s">
        <v>16</v>
      </c>
      <c r="D599" t="s">
        <v>32</v>
      </c>
      <c r="E599" t="s">
        <v>70</v>
      </c>
      <c r="F599" t="s">
        <v>102</v>
      </c>
      <c r="G599" t="s">
        <v>35</v>
      </c>
      <c r="H599" t="s">
        <v>21</v>
      </c>
      <c r="I599" s="8">
        <v>44586</v>
      </c>
      <c r="J599" s="8"/>
      <c r="K599" t="s">
        <v>22</v>
      </c>
      <c r="L599" s="9">
        <v>18000</v>
      </c>
      <c r="M599" s="10">
        <v>5</v>
      </c>
      <c r="N599" t="s">
        <v>23</v>
      </c>
    </row>
    <row r="600" spans="1:14">
      <c r="A600" t="s">
        <v>1259</v>
      </c>
      <c r="B600" t="s">
        <v>1260</v>
      </c>
      <c r="C600" t="s">
        <v>16</v>
      </c>
      <c r="D600" t="s">
        <v>49</v>
      </c>
      <c r="E600" t="s">
        <v>52</v>
      </c>
      <c r="F600" t="s">
        <v>179</v>
      </c>
      <c r="G600" t="s">
        <v>57</v>
      </c>
      <c r="H600" t="s">
        <v>46</v>
      </c>
      <c r="I600" s="8">
        <v>44087</v>
      </c>
      <c r="J600" s="8">
        <v>44475</v>
      </c>
      <c r="K600" t="s">
        <v>36</v>
      </c>
      <c r="L600" s="9">
        <v>47100</v>
      </c>
      <c r="M600" s="10">
        <v>4</v>
      </c>
      <c r="N600" t="s">
        <v>58</v>
      </c>
    </row>
    <row r="601" spans="1:14">
      <c r="A601" t="s">
        <v>1261</v>
      </c>
      <c r="B601" t="s">
        <v>1262</v>
      </c>
      <c r="C601" t="s">
        <v>16</v>
      </c>
      <c r="D601" t="s">
        <v>17</v>
      </c>
      <c r="E601" t="s">
        <v>64</v>
      </c>
      <c r="F601" t="s">
        <v>92</v>
      </c>
      <c r="G601" t="s">
        <v>57</v>
      </c>
      <c r="H601" t="s">
        <v>21</v>
      </c>
      <c r="I601" s="8">
        <v>44040</v>
      </c>
      <c r="J601" s="8"/>
      <c r="K601" t="s">
        <v>22</v>
      </c>
      <c r="L601" s="9">
        <v>39000</v>
      </c>
      <c r="M601" s="10">
        <v>4</v>
      </c>
      <c r="N601" t="s">
        <v>23</v>
      </c>
    </row>
    <row r="602" spans="1:14">
      <c r="A602" t="s">
        <v>1263</v>
      </c>
      <c r="B602" t="s">
        <v>1264</v>
      </c>
      <c r="C602" t="s">
        <v>16</v>
      </c>
      <c r="D602" t="s">
        <v>88</v>
      </c>
      <c r="E602" t="s">
        <v>33</v>
      </c>
      <c r="F602" t="s">
        <v>97</v>
      </c>
      <c r="G602" t="s">
        <v>40</v>
      </c>
      <c r="H602" t="s">
        <v>46</v>
      </c>
      <c r="I602" s="8">
        <v>43484</v>
      </c>
      <c r="J602" s="8">
        <v>44319</v>
      </c>
      <c r="K602" t="s">
        <v>36</v>
      </c>
      <c r="L602" s="9">
        <v>42900</v>
      </c>
      <c r="M602" s="10">
        <v>4</v>
      </c>
      <c r="N602" t="s">
        <v>23</v>
      </c>
    </row>
    <row r="603" spans="1:14">
      <c r="A603" t="s">
        <v>1265</v>
      </c>
      <c r="B603" t="s">
        <v>1266</v>
      </c>
      <c r="C603" t="s">
        <v>16</v>
      </c>
      <c r="D603" t="s">
        <v>114</v>
      </c>
      <c r="E603" t="s">
        <v>18</v>
      </c>
      <c r="F603" t="s">
        <v>39</v>
      </c>
      <c r="G603" t="s">
        <v>40</v>
      </c>
      <c r="H603" t="s">
        <v>21</v>
      </c>
      <c r="I603" s="8">
        <v>45073</v>
      </c>
      <c r="J603" s="8">
        <v>45599</v>
      </c>
      <c r="K603" t="s">
        <v>36</v>
      </c>
      <c r="L603" s="9">
        <v>56200</v>
      </c>
      <c r="M603" s="10">
        <v>2</v>
      </c>
      <c r="N603" t="s">
        <v>23</v>
      </c>
    </row>
    <row r="604" spans="1:14">
      <c r="A604" t="s">
        <v>1267</v>
      </c>
      <c r="B604" t="s">
        <v>1268</v>
      </c>
      <c r="C604" t="s">
        <v>16</v>
      </c>
      <c r="D604" t="s">
        <v>26</v>
      </c>
      <c r="E604" t="s">
        <v>70</v>
      </c>
      <c r="F604" t="s">
        <v>102</v>
      </c>
      <c r="G604" t="s">
        <v>57</v>
      </c>
      <c r="H604" t="s">
        <v>21</v>
      </c>
      <c r="I604" s="8">
        <v>44496</v>
      </c>
      <c r="J604" s="8"/>
      <c r="K604" t="s">
        <v>22</v>
      </c>
      <c r="L604" s="9">
        <v>26800</v>
      </c>
      <c r="M604" s="10">
        <v>4</v>
      </c>
      <c r="N604" t="s">
        <v>58</v>
      </c>
    </row>
    <row r="605" spans="1:14">
      <c r="A605" t="s">
        <v>1269</v>
      </c>
      <c r="B605" t="s">
        <v>1270</v>
      </c>
      <c r="C605" t="s">
        <v>31</v>
      </c>
      <c r="D605" t="s">
        <v>17</v>
      </c>
      <c r="E605" t="s">
        <v>64</v>
      </c>
      <c r="F605" t="s">
        <v>119</v>
      </c>
      <c r="G605" t="s">
        <v>40</v>
      </c>
      <c r="H605" t="s">
        <v>21</v>
      </c>
      <c r="I605" s="8">
        <v>44961</v>
      </c>
      <c r="J605" s="8">
        <v>45847</v>
      </c>
      <c r="K605" t="s">
        <v>36</v>
      </c>
      <c r="L605" s="9">
        <v>51000</v>
      </c>
      <c r="M605" s="10">
        <v>2</v>
      </c>
      <c r="N605" t="s">
        <v>23</v>
      </c>
    </row>
    <row r="606" spans="1:14">
      <c r="A606" t="s">
        <v>1271</v>
      </c>
      <c r="B606" t="s">
        <v>1272</v>
      </c>
      <c r="C606" t="s">
        <v>16</v>
      </c>
      <c r="D606" t="s">
        <v>88</v>
      </c>
      <c r="E606" t="s">
        <v>64</v>
      </c>
      <c r="F606" t="s">
        <v>65</v>
      </c>
      <c r="G606" t="s">
        <v>35</v>
      </c>
      <c r="H606" t="s">
        <v>198</v>
      </c>
      <c r="I606" s="8">
        <v>43453</v>
      </c>
      <c r="J606" s="8"/>
      <c r="K606" t="s">
        <v>22</v>
      </c>
      <c r="L606" s="9">
        <v>39500</v>
      </c>
      <c r="M606" s="10">
        <v>3</v>
      </c>
      <c r="N606" t="s">
        <v>58</v>
      </c>
    </row>
    <row r="607" spans="1:14">
      <c r="A607" t="s">
        <v>1273</v>
      </c>
      <c r="B607" t="s">
        <v>1274</v>
      </c>
      <c r="C607" t="s">
        <v>16</v>
      </c>
      <c r="D607" t="s">
        <v>88</v>
      </c>
      <c r="E607" t="s">
        <v>70</v>
      </c>
      <c r="F607" t="s">
        <v>102</v>
      </c>
      <c r="G607" t="s">
        <v>20</v>
      </c>
      <c r="H607" t="s">
        <v>21</v>
      </c>
      <c r="I607" s="8">
        <v>44640</v>
      </c>
      <c r="J607" s="8"/>
      <c r="K607" t="s">
        <v>22</v>
      </c>
      <c r="L607" s="9">
        <v>29600</v>
      </c>
      <c r="M607" s="10">
        <v>4</v>
      </c>
      <c r="N607" t="s">
        <v>23</v>
      </c>
    </row>
    <row r="608" spans="1:14">
      <c r="A608" t="s">
        <v>1275</v>
      </c>
      <c r="B608" t="s">
        <v>1276</v>
      </c>
      <c r="C608" t="s">
        <v>16</v>
      </c>
      <c r="D608" t="s">
        <v>17</v>
      </c>
      <c r="E608" t="s">
        <v>70</v>
      </c>
      <c r="F608" t="s">
        <v>71</v>
      </c>
      <c r="G608" t="s">
        <v>35</v>
      </c>
      <c r="H608" t="s">
        <v>21</v>
      </c>
      <c r="I608" s="8">
        <v>44864</v>
      </c>
      <c r="J608" s="8"/>
      <c r="K608" t="s">
        <v>22</v>
      </c>
      <c r="L608" s="9">
        <v>21100</v>
      </c>
      <c r="M608" s="10">
        <v>5</v>
      </c>
      <c r="N608" t="s">
        <v>23</v>
      </c>
    </row>
    <row r="609" spans="1:14">
      <c r="A609" t="s">
        <v>1277</v>
      </c>
      <c r="B609" t="s">
        <v>1278</v>
      </c>
      <c r="C609" t="s">
        <v>31</v>
      </c>
      <c r="D609" t="s">
        <v>43</v>
      </c>
      <c r="E609" t="s">
        <v>18</v>
      </c>
      <c r="F609" t="s">
        <v>19</v>
      </c>
      <c r="G609" t="s">
        <v>40</v>
      </c>
      <c r="H609" t="s">
        <v>21</v>
      </c>
      <c r="I609" s="8">
        <v>45698</v>
      </c>
      <c r="J609" s="8"/>
      <c r="K609" t="s">
        <v>22</v>
      </c>
      <c r="L609" s="9">
        <v>44600</v>
      </c>
      <c r="M609" s="10">
        <v>2</v>
      </c>
      <c r="N609" t="s">
        <v>23</v>
      </c>
    </row>
    <row r="610" spans="1:14">
      <c r="A610" t="s">
        <v>1279</v>
      </c>
      <c r="B610" t="s">
        <v>1280</v>
      </c>
      <c r="C610" t="s">
        <v>16</v>
      </c>
      <c r="D610" t="s">
        <v>114</v>
      </c>
      <c r="E610" t="s">
        <v>18</v>
      </c>
      <c r="F610" t="s">
        <v>89</v>
      </c>
      <c r="G610" t="s">
        <v>40</v>
      </c>
      <c r="H610" t="s">
        <v>21</v>
      </c>
      <c r="I610" s="8">
        <v>43647</v>
      </c>
      <c r="J610" s="8">
        <v>43894</v>
      </c>
      <c r="K610" t="s">
        <v>36</v>
      </c>
      <c r="L610" s="9">
        <v>59200</v>
      </c>
      <c r="M610" s="10">
        <v>4</v>
      </c>
      <c r="N610" t="s">
        <v>58</v>
      </c>
    </row>
    <row r="611" spans="1:14">
      <c r="A611" t="s">
        <v>1281</v>
      </c>
      <c r="B611" t="s">
        <v>1282</v>
      </c>
      <c r="C611" t="s">
        <v>31</v>
      </c>
      <c r="D611" t="s">
        <v>17</v>
      </c>
      <c r="E611" t="s">
        <v>70</v>
      </c>
      <c r="F611" t="s">
        <v>71</v>
      </c>
      <c r="G611" t="s">
        <v>40</v>
      </c>
      <c r="H611" t="s">
        <v>21</v>
      </c>
      <c r="I611" s="8">
        <v>43931</v>
      </c>
      <c r="J611" s="8"/>
      <c r="K611" t="s">
        <v>22</v>
      </c>
      <c r="L611" s="9">
        <v>28400</v>
      </c>
      <c r="M611" s="10">
        <v>4</v>
      </c>
      <c r="N611" t="s">
        <v>23</v>
      </c>
    </row>
    <row r="612" spans="1:14">
      <c r="A612" t="s">
        <v>1283</v>
      </c>
      <c r="B612" t="s">
        <v>1284</v>
      </c>
      <c r="C612" t="s">
        <v>31</v>
      </c>
      <c r="D612" t="s">
        <v>74</v>
      </c>
      <c r="E612" t="s">
        <v>64</v>
      </c>
      <c r="F612" t="s">
        <v>119</v>
      </c>
      <c r="G612" t="s">
        <v>35</v>
      </c>
      <c r="H612" t="s">
        <v>21</v>
      </c>
      <c r="I612" s="8">
        <v>44534</v>
      </c>
      <c r="J612" s="8"/>
      <c r="K612" t="s">
        <v>22</v>
      </c>
      <c r="L612" s="9">
        <v>36600</v>
      </c>
      <c r="M612" s="10">
        <v>4</v>
      </c>
      <c r="N612" t="s">
        <v>58</v>
      </c>
    </row>
    <row r="613" spans="1:14">
      <c r="A613" t="s">
        <v>1285</v>
      </c>
      <c r="B613" t="s">
        <v>1286</v>
      </c>
      <c r="C613" t="s">
        <v>31</v>
      </c>
      <c r="D613" t="s">
        <v>32</v>
      </c>
      <c r="E613" t="s">
        <v>64</v>
      </c>
      <c r="F613" t="s">
        <v>65</v>
      </c>
      <c r="G613" t="s">
        <v>57</v>
      </c>
      <c r="H613" t="s">
        <v>21</v>
      </c>
      <c r="I613" s="8">
        <v>44750</v>
      </c>
      <c r="J613" s="8"/>
      <c r="K613" t="s">
        <v>22</v>
      </c>
      <c r="L613" s="9">
        <v>35600</v>
      </c>
      <c r="M613" s="10">
        <v>4</v>
      </c>
      <c r="N613" t="s">
        <v>23</v>
      </c>
    </row>
    <row r="614" spans="1:14">
      <c r="A614" t="s">
        <v>1287</v>
      </c>
      <c r="B614" t="s">
        <v>1288</v>
      </c>
      <c r="C614" t="s">
        <v>16</v>
      </c>
      <c r="D614" t="s">
        <v>114</v>
      </c>
      <c r="E614" t="s">
        <v>52</v>
      </c>
      <c r="F614" t="s">
        <v>126</v>
      </c>
      <c r="G614" t="s">
        <v>20</v>
      </c>
      <c r="H614" t="s">
        <v>21</v>
      </c>
      <c r="I614" s="8">
        <v>44696</v>
      </c>
      <c r="J614" s="8"/>
      <c r="K614" t="s">
        <v>22</v>
      </c>
      <c r="L614" s="9">
        <v>32500</v>
      </c>
      <c r="M614" s="10">
        <v>4</v>
      </c>
      <c r="N614" t="s">
        <v>23</v>
      </c>
    </row>
    <row r="615" spans="1:14">
      <c r="A615" t="s">
        <v>1289</v>
      </c>
      <c r="B615" t="s">
        <v>1290</v>
      </c>
      <c r="C615" t="s">
        <v>16</v>
      </c>
      <c r="D615" t="s">
        <v>74</v>
      </c>
      <c r="E615" t="s">
        <v>64</v>
      </c>
      <c r="F615" t="s">
        <v>119</v>
      </c>
      <c r="G615" t="s">
        <v>57</v>
      </c>
      <c r="H615" t="s">
        <v>21</v>
      </c>
      <c r="I615" s="8">
        <v>44751</v>
      </c>
      <c r="J615" s="8"/>
      <c r="K615" t="s">
        <v>22</v>
      </c>
      <c r="L615" s="9">
        <v>41600</v>
      </c>
      <c r="M615" s="10">
        <v>2</v>
      </c>
      <c r="N615" t="s">
        <v>58</v>
      </c>
    </row>
    <row r="616" spans="1:14">
      <c r="A616" t="s">
        <v>1291</v>
      </c>
      <c r="B616" t="s">
        <v>1292</v>
      </c>
      <c r="C616" t="s">
        <v>16</v>
      </c>
      <c r="D616" t="s">
        <v>74</v>
      </c>
      <c r="E616" t="s">
        <v>33</v>
      </c>
      <c r="F616" t="s">
        <v>148</v>
      </c>
      <c r="G616" t="s">
        <v>57</v>
      </c>
      <c r="H616" t="s">
        <v>46</v>
      </c>
      <c r="I616" s="8">
        <v>45999</v>
      </c>
      <c r="J616" s="8"/>
      <c r="K616" t="s">
        <v>22</v>
      </c>
      <c r="L616" s="9">
        <v>48400</v>
      </c>
      <c r="M616" s="10">
        <v>3</v>
      </c>
      <c r="N616" t="s">
        <v>23</v>
      </c>
    </row>
    <row r="617" spans="1:14">
      <c r="A617" t="s">
        <v>1293</v>
      </c>
      <c r="B617" t="s">
        <v>1294</v>
      </c>
      <c r="C617" t="s">
        <v>16</v>
      </c>
      <c r="D617" t="s">
        <v>74</v>
      </c>
      <c r="E617" t="s">
        <v>64</v>
      </c>
      <c r="F617" t="s">
        <v>92</v>
      </c>
      <c r="G617" t="s">
        <v>57</v>
      </c>
      <c r="H617" t="s">
        <v>21</v>
      </c>
      <c r="I617" s="8">
        <v>45914</v>
      </c>
      <c r="J617" s="8"/>
      <c r="K617" t="s">
        <v>22</v>
      </c>
      <c r="L617" s="9">
        <v>42200</v>
      </c>
      <c r="M617" s="10">
        <v>4</v>
      </c>
      <c r="N617" t="s">
        <v>23</v>
      </c>
    </row>
    <row r="618" spans="1:14">
      <c r="A618" t="s">
        <v>1295</v>
      </c>
      <c r="B618" t="s">
        <v>1296</v>
      </c>
      <c r="C618" t="s">
        <v>31</v>
      </c>
      <c r="D618" t="s">
        <v>32</v>
      </c>
      <c r="E618" t="s">
        <v>27</v>
      </c>
      <c r="F618" t="s">
        <v>61</v>
      </c>
      <c r="G618" t="s">
        <v>35</v>
      </c>
      <c r="H618" t="s">
        <v>21</v>
      </c>
      <c r="I618" s="8">
        <v>45869</v>
      </c>
      <c r="J618" s="8">
        <v>46019</v>
      </c>
      <c r="K618" t="s">
        <v>36</v>
      </c>
      <c r="L618" s="9">
        <v>38200</v>
      </c>
      <c r="M618" s="10">
        <v>4</v>
      </c>
      <c r="N618" t="s">
        <v>23</v>
      </c>
    </row>
    <row r="619" spans="1:14">
      <c r="A619" t="s">
        <v>1297</v>
      </c>
      <c r="B619" t="s">
        <v>1298</v>
      </c>
      <c r="C619" t="s">
        <v>31</v>
      </c>
      <c r="D619" t="s">
        <v>43</v>
      </c>
      <c r="E619" t="s">
        <v>52</v>
      </c>
      <c r="F619" t="s">
        <v>126</v>
      </c>
      <c r="G619" t="s">
        <v>40</v>
      </c>
      <c r="H619" t="s">
        <v>21</v>
      </c>
      <c r="I619" s="8">
        <v>44926</v>
      </c>
      <c r="J619" s="8"/>
      <c r="K619" t="s">
        <v>22</v>
      </c>
      <c r="L619" s="9">
        <v>34900</v>
      </c>
      <c r="M619" s="10">
        <v>4</v>
      </c>
      <c r="N619" t="s">
        <v>23</v>
      </c>
    </row>
    <row r="620" spans="1:14">
      <c r="A620" t="s">
        <v>1299</v>
      </c>
      <c r="B620" t="s">
        <v>1300</v>
      </c>
      <c r="C620" t="s">
        <v>31</v>
      </c>
      <c r="D620" t="s">
        <v>114</v>
      </c>
      <c r="E620" t="s">
        <v>44</v>
      </c>
      <c r="F620" t="s">
        <v>133</v>
      </c>
      <c r="G620" t="s">
        <v>35</v>
      </c>
      <c r="H620" t="s">
        <v>21</v>
      </c>
      <c r="I620" s="8">
        <v>45336</v>
      </c>
      <c r="J620" s="8">
        <v>45433</v>
      </c>
      <c r="K620" t="s">
        <v>36</v>
      </c>
      <c r="L620" s="9">
        <v>31100</v>
      </c>
      <c r="M620" s="10">
        <v>5</v>
      </c>
      <c r="N620" t="s">
        <v>23</v>
      </c>
    </row>
    <row r="621" spans="1:14">
      <c r="A621" t="s">
        <v>1301</v>
      </c>
      <c r="B621" t="s">
        <v>1302</v>
      </c>
      <c r="C621" t="s">
        <v>31</v>
      </c>
      <c r="D621" t="s">
        <v>74</v>
      </c>
      <c r="E621" t="s">
        <v>70</v>
      </c>
      <c r="F621" t="s">
        <v>102</v>
      </c>
      <c r="G621" t="s">
        <v>40</v>
      </c>
      <c r="H621" t="s">
        <v>21</v>
      </c>
      <c r="I621" s="8">
        <v>45435</v>
      </c>
      <c r="J621" s="8"/>
      <c r="K621" t="s">
        <v>22</v>
      </c>
      <c r="L621" s="9">
        <v>45800</v>
      </c>
      <c r="M621" s="10">
        <v>4</v>
      </c>
      <c r="N621" t="s">
        <v>23</v>
      </c>
    </row>
    <row r="622" spans="1:14">
      <c r="A622" t="s">
        <v>1303</v>
      </c>
      <c r="B622" t="s">
        <v>1304</v>
      </c>
      <c r="C622" t="s">
        <v>16</v>
      </c>
      <c r="D622" t="s">
        <v>74</v>
      </c>
      <c r="E622" t="s">
        <v>33</v>
      </c>
      <c r="F622" t="s">
        <v>34</v>
      </c>
      <c r="G622" t="s">
        <v>40</v>
      </c>
      <c r="H622" t="s">
        <v>21</v>
      </c>
      <c r="I622" s="8">
        <v>44468</v>
      </c>
      <c r="J622" s="8"/>
      <c r="K622" t="s">
        <v>22</v>
      </c>
      <c r="L622" s="9">
        <v>43800</v>
      </c>
      <c r="M622" s="10">
        <v>4</v>
      </c>
      <c r="N622" t="s">
        <v>58</v>
      </c>
    </row>
    <row r="623" spans="1:14">
      <c r="A623" t="s">
        <v>1305</v>
      </c>
      <c r="B623" t="s">
        <v>1306</v>
      </c>
      <c r="C623" t="s">
        <v>31</v>
      </c>
      <c r="D623" t="s">
        <v>49</v>
      </c>
      <c r="E623" t="s">
        <v>64</v>
      </c>
      <c r="F623" t="s">
        <v>119</v>
      </c>
      <c r="G623" t="s">
        <v>40</v>
      </c>
      <c r="H623" t="s">
        <v>21</v>
      </c>
      <c r="I623" s="8">
        <v>44230</v>
      </c>
      <c r="J623" s="8"/>
      <c r="K623" t="s">
        <v>22</v>
      </c>
      <c r="L623" s="9">
        <v>45400</v>
      </c>
      <c r="M623" s="10">
        <v>2</v>
      </c>
      <c r="N623" t="s">
        <v>23</v>
      </c>
    </row>
    <row r="624" spans="1:14">
      <c r="A624" t="s">
        <v>1307</v>
      </c>
      <c r="B624" t="s">
        <v>1308</v>
      </c>
      <c r="C624" t="s">
        <v>16</v>
      </c>
      <c r="D624" t="s">
        <v>74</v>
      </c>
      <c r="E624" t="s">
        <v>64</v>
      </c>
      <c r="F624" t="s">
        <v>65</v>
      </c>
      <c r="G624" t="s">
        <v>57</v>
      </c>
      <c r="H624" t="s">
        <v>21</v>
      </c>
      <c r="I624" s="8">
        <v>45694</v>
      </c>
      <c r="J624" s="8">
        <v>45831</v>
      </c>
      <c r="K624" t="s">
        <v>36</v>
      </c>
      <c r="L624" s="9">
        <v>33000</v>
      </c>
      <c r="M624" s="10">
        <v>2</v>
      </c>
      <c r="N624" t="s">
        <v>58</v>
      </c>
    </row>
    <row r="625" spans="1:14">
      <c r="A625" t="s">
        <v>1309</v>
      </c>
      <c r="B625" t="s">
        <v>1310</v>
      </c>
      <c r="C625" t="s">
        <v>16</v>
      </c>
      <c r="D625" t="s">
        <v>88</v>
      </c>
      <c r="E625" t="s">
        <v>70</v>
      </c>
      <c r="F625" t="s">
        <v>102</v>
      </c>
      <c r="G625" t="s">
        <v>35</v>
      </c>
      <c r="H625" t="s">
        <v>21</v>
      </c>
      <c r="I625" s="8">
        <v>45931</v>
      </c>
      <c r="J625" s="8"/>
      <c r="K625" t="s">
        <v>22</v>
      </c>
      <c r="L625" s="9">
        <v>18000</v>
      </c>
      <c r="M625" s="10">
        <v>3</v>
      </c>
      <c r="N625" t="s">
        <v>23</v>
      </c>
    </row>
    <row r="626" spans="1:14">
      <c r="A626" t="s">
        <v>1311</v>
      </c>
      <c r="B626" t="s">
        <v>1312</v>
      </c>
      <c r="C626" t="s">
        <v>16</v>
      </c>
      <c r="D626" t="s">
        <v>43</v>
      </c>
      <c r="E626" t="s">
        <v>27</v>
      </c>
      <c r="F626" t="s">
        <v>75</v>
      </c>
      <c r="G626" t="s">
        <v>57</v>
      </c>
      <c r="H626" t="s">
        <v>46</v>
      </c>
      <c r="I626" s="8">
        <v>44186</v>
      </c>
      <c r="J626" s="8"/>
      <c r="K626" t="s">
        <v>22</v>
      </c>
      <c r="L626" s="9">
        <v>52700</v>
      </c>
      <c r="M626" s="10">
        <v>2</v>
      </c>
      <c r="N626" t="s">
        <v>23</v>
      </c>
    </row>
    <row r="627" spans="1:14">
      <c r="A627" t="s">
        <v>1313</v>
      </c>
      <c r="B627" t="s">
        <v>1314</v>
      </c>
      <c r="C627" t="s">
        <v>31</v>
      </c>
      <c r="D627" t="s">
        <v>32</v>
      </c>
      <c r="E627" t="s">
        <v>64</v>
      </c>
      <c r="F627" t="s">
        <v>92</v>
      </c>
      <c r="G627" t="s">
        <v>40</v>
      </c>
      <c r="H627" t="s">
        <v>46</v>
      </c>
      <c r="I627" s="8">
        <v>44659</v>
      </c>
      <c r="J627" s="8"/>
      <c r="K627" t="s">
        <v>22</v>
      </c>
      <c r="L627" s="9">
        <v>37600</v>
      </c>
      <c r="M627" s="10">
        <v>5</v>
      </c>
      <c r="N627" t="s">
        <v>23</v>
      </c>
    </row>
    <row r="628" spans="1:14">
      <c r="A628" t="s">
        <v>1315</v>
      </c>
      <c r="B628" t="s">
        <v>1316</v>
      </c>
      <c r="C628" t="s">
        <v>31</v>
      </c>
      <c r="D628" t="s">
        <v>49</v>
      </c>
      <c r="E628" t="s">
        <v>64</v>
      </c>
      <c r="F628" t="s">
        <v>119</v>
      </c>
      <c r="G628" t="s">
        <v>35</v>
      </c>
      <c r="H628" t="s">
        <v>21</v>
      </c>
      <c r="I628" s="8">
        <v>45008</v>
      </c>
      <c r="J628" s="8"/>
      <c r="K628" t="s">
        <v>22</v>
      </c>
      <c r="L628" s="9">
        <v>27300</v>
      </c>
      <c r="M628" s="10">
        <v>5</v>
      </c>
      <c r="N628" t="s">
        <v>23</v>
      </c>
    </row>
    <row r="629" spans="1:14">
      <c r="A629" t="s">
        <v>1317</v>
      </c>
      <c r="B629" t="s">
        <v>1318</v>
      </c>
      <c r="C629" t="s">
        <v>31</v>
      </c>
      <c r="D629" t="s">
        <v>26</v>
      </c>
      <c r="E629" t="s">
        <v>18</v>
      </c>
      <c r="F629" t="s">
        <v>89</v>
      </c>
      <c r="G629" t="s">
        <v>35</v>
      </c>
      <c r="H629" t="s">
        <v>21</v>
      </c>
      <c r="I629" s="8">
        <v>43913</v>
      </c>
      <c r="J629" s="8"/>
      <c r="K629" t="s">
        <v>22</v>
      </c>
      <c r="L629" s="9">
        <v>61500</v>
      </c>
      <c r="M629" s="10">
        <v>3</v>
      </c>
      <c r="N629" t="s">
        <v>58</v>
      </c>
    </row>
    <row r="630" spans="1:14">
      <c r="A630" t="s">
        <v>1319</v>
      </c>
      <c r="B630" t="s">
        <v>1320</v>
      </c>
      <c r="C630" t="s">
        <v>16</v>
      </c>
      <c r="D630" t="s">
        <v>74</v>
      </c>
      <c r="E630" t="s">
        <v>70</v>
      </c>
      <c r="F630" t="s">
        <v>102</v>
      </c>
      <c r="G630" t="s">
        <v>35</v>
      </c>
      <c r="H630" t="s">
        <v>21</v>
      </c>
      <c r="I630" s="8">
        <v>45651</v>
      </c>
      <c r="J630" s="8"/>
      <c r="K630" t="s">
        <v>22</v>
      </c>
      <c r="L630" s="9">
        <v>33400</v>
      </c>
      <c r="M630" s="10">
        <v>3</v>
      </c>
      <c r="N630" t="s">
        <v>23</v>
      </c>
    </row>
    <row r="631" spans="1:14">
      <c r="A631" t="s">
        <v>1321</v>
      </c>
      <c r="B631" t="s">
        <v>1322</v>
      </c>
      <c r="C631" t="s">
        <v>16</v>
      </c>
      <c r="D631" t="s">
        <v>88</v>
      </c>
      <c r="E631" t="s">
        <v>70</v>
      </c>
      <c r="F631" t="s">
        <v>71</v>
      </c>
      <c r="G631" t="s">
        <v>20</v>
      </c>
      <c r="H631" t="s">
        <v>46</v>
      </c>
      <c r="I631" s="8">
        <v>45852</v>
      </c>
      <c r="J631" s="8"/>
      <c r="K631" t="s">
        <v>22</v>
      </c>
      <c r="L631" s="9">
        <v>26500</v>
      </c>
      <c r="M631" s="10">
        <v>4</v>
      </c>
      <c r="N631" t="s">
        <v>58</v>
      </c>
    </row>
    <row r="632" spans="1:14">
      <c r="A632" t="s">
        <v>1323</v>
      </c>
      <c r="B632" t="s">
        <v>1324</v>
      </c>
      <c r="C632" t="s">
        <v>31</v>
      </c>
      <c r="D632" t="s">
        <v>26</v>
      </c>
      <c r="E632" t="s">
        <v>44</v>
      </c>
      <c r="F632" t="s">
        <v>45</v>
      </c>
      <c r="G632" t="s">
        <v>20</v>
      </c>
      <c r="H632" t="s">
        <v>21</v>
      </c>
      <c r="I632" s="8">
        <v>44460</v>
      </c>
      <c r="J632" s="8"/>
      <c r="K632" t="s">
        <v>22</v>
      </c>
      <c r="L632" s="9">
        <v>43000</v>
      </c>
      <c r="M632" s="10">
        <v>2</v>
      </c>
      <c r="N632" t="s">
        <v>58</v>
      </c>
    </row>
    <row r="633" spans="1:14">
      <c r="A633" t="s">
        <v>1325</v>
      </c>
      <c r="B633" t="s">
        <v>1326</v>
      </c>
      <c r="C633" t="s">
        <v>16</v>
      </c>
      <c r="D633" t="s">
        <v>17</v>
      </c>
      <c r="E633" t="s">
        <v>27</v>
      </c>
      <c r="F633" t="s">
        <v>61</v>
      </c>
      <c r="G633" t="s">
        <v>35</v>
      </c>
      <c r="H633" t="s">
        <v>46</v>
      </c>
      <c r="I633" s="8">
        <v>43303</v>
      </c>
      <c r="J633" s="8"/>
      <c r="K633" t="s">
        <v>22</v>
      </c>
      <c r="L633" s="9">
        <v>48200</v>
      </c>
      <c r="M633" s="10">
        <v>4</v>
      </c>
      <c r="N633" t="s">
        <v>23</v>
      </c>
    </row>
    <row r="634" spans="1:14">
      <c r="A634" t="s">
        <v>1327</v>
      </c>
      <c r="B634" t="s">
        <v>1328</v>
      </c>
      <c r="C634" t="s">
        <v>16</v>
      </c>
      <c r="D634" t="s">
        <v>74</v>
      </c>
      <c r="E634" t="s">
        <v>70</v>
      </c>
      <c r="F634" t="s">
        <v>71</v>
      </c>
      <c r="G634" t="s">
        <v>57</v>
      </c>
      <c r="H634" t="s">
        <v>21</v>
      </c>
      <c r="I634" s="8">
        <v>45603</v>
      </c>
      <c r="J634" s="8"/>
      <c r="K634" t="s">
        <v>22</v>
      </c>
      <c r="L634" s="9">
        <v>28500</v>
      </c>
      <c r="M634" s="10">
        <v>4</v>
      </c>
      <c r="N634" t="s">
        <v>23</v>
      </c>
    </row>
    <row r="635" spans="1:14">
      <c r="A635" t="s">
        <v>1329</v>
      </c>
      <c r="B635" t="s">
        <v>1330</v>
      </c>
      <c r="C635" t="s">
        <v>16</v>
      </c>
      <c r="D635" t="s">
        <v>74</v>
      </c>
      <c r="E635" t="s">
        <v>70</v>
      </c>
      <c r="F635" t="s">
        <v>71</v>
      </c>
      <c r="G635" t="s">
        <v>57</v>
      </c>
      <c r="H635" t="s">
        <v>21</v>
      </c>
      <c r="I635" s="8">
        <v>45170</v>
      </c>
      <c r="J635" s="8"/>
      <c r="K635" t="s">
        <v>22</v>
      </c>
      <c r="L635" s="9">
        <v>18000</v>
      </c>
      <c r="M635" s="10">
        <v>5</v>
      </c>
      <c r="N635" t="s">
        <v>23</v>
      </c>
    </row>
    <row r="636" spans="1:14">
      <c r="A636" t="s">
        <v>1331</v>
      </c>
      <c r="B636" t="s">
        <v>1332</v>
      </c>
      <c r="C636" t="s">
        <v>16</v>
      </c>
      <c r="D636" t="s">
        <v>43</v>
      </c>
      <c r="E636" t="s">
        <v>70</v>
      </c>
      <c r="F636" t="s">
        <v>105</v>
      </c>
      <c r="G636" t="s">
        <v>57</v>
      </c>
      <c r="H636" t="s">
        <v>21</v>
      </c>
      <c r="I636" s="8">
        <v>44775</v>
      </c>
      <c r="J636" s="8"/>
      <c r="K636" t="s">
        <v>22</v>
      </c>
      <c r="L636" s="9">
        <v>29500</v>
      </c>
      <c r="M636" s="10">
        <v>3</v>
      </c>
      <c r="N636" t="s">
        <v>23</v>
      </c>
    </row>
    <row r="637" spans="1:14">
      <c r="A637" t="s">
        <v>1333</v>
      </c>
      <c r="B637" t="s">
        <v>1334</v>
      </c>
      <c r="C637" t="s">
        <v>31</v>
      </c>
      <c r="D637" t="s">
        <v>17</v>
      </c>
      <c r="E637" t="s">
        <v>64</v>
      </c>
      <c r="F637" t="s">
        <v>92</v>
      </c>
      <c r="G637" t="s">
        <v>40</v>
      </c>
      <c r="H637" t="s">
        <v>21</v>
      </c>
      <c r="I637" s="8">
        <v>44377</v>
      </c>
      <c r="J637" s="8"/>
      <c r="K637" t="s">
        <v>22</v>
      </c>
      <c r="L637" s="9">
        <v>54300</v>
      </c>
      <c r="M637" s="10">
        <v>5</v>
      </c>
      <c r="N637" t="s">
        <v>23</v>
      </c>
    </row>
    <row r="638" spans="1:14">
      <c r="A638" t="s">
        <v>1335</v>
      </c>
      <c r="B638" t="s">
        <v>1336</v>
      </c>
      <c r="C638" t="s">
        <v>16</v>
      </c>
      <c r="D638" t="s">
        <v>74</v>
      </c>
      <c r="E638" t="s">
        <v>44</v>
      </c>
      <c r="F638" t="s">
        <v>133</v>
      </c>
      <c r="G638" t="s">
        <v>40</v>
      </c>
      <c r="H638" t="s">
        <v>21</v>
      </c>
      <c r="I638" s="8">
        <v>44503</v>
      </c>
      <c r="J638" s="8"/>
      <c r="K638" t="s">
        <v>22</v>
      </c>
      <c r="L638" s="9">
        <v>37300</v>
      </c>
      <c r="M638" s="10">
        <v>4</v>
      </c>
      <c r="N638" t="s">
        <v>23</v>
      </c>
    </row>
    <row r="639" spans="1:14">
      <c r="A639" t="s">
        <v>1337</v>
      </c>
      <c r="B639" t="s">
        <v>1338</v>
      </c>
      <c r="C639" t="s">
        <v>16</v>
      </c>
      <c r="D639" t="s">
        <v>43</v>
      </c>
      <c r="E639" t="s">
        <v>70</v>
      </c>
      <c r="F639" t="s">
        <v>71</v>
      </c>
      <c r="G639" t="s">
        <v>40</v>
      </c>
      <c r="H639" t="s">
        <v>46</v>
      </c>
      <c r="I639" s="8">
        <v>44371</v>
      </c>
      <c r="J639" s="8"/>
      <c r="K639" t="s">
        <v>22</v>
      </c>
      <c r="L639" s="9">
        <v>29000</v>
      </c>
      <c r="M639" s="10">
        <v>3</v>
      </c>
      <c r="N639" t="s">
        <v>23</v>
      </c>
    </row>
    <row r="640" spans="1:14">
      <c r="A640" t="s">
        <v>1339</v>
      </c>
      <c r="B640" t="s">
        <v>1340</v>
      </c>
      <c r="C640" t="s">
        <v>31</v>
      </c>
      <c r="D640" t="s">
        <v>88</v>
      </c>
      <c r="E640" t="s">
        <v>64</v>
      </c>
      <c r="F640" t="s">
        <v>119</v>
      </c>
      <c r="G640" t="s">
        <v>20</v>
      </c>
      <c r="H640" t="s">
        <v>21</v>
      </c>
      <c r="I640" s="8">
        <v>45537</v>
      </c>
      <c r="J640" s="8"/>
      <c r="K640" t="s">
        <v>22</v>
      </c>
      <c r="L640" s="9">
        <v>38300</v>
      </c>
      <c r="M640" s="10">
        <v>3</v>
      </c>
      <c r="N640" t="s">
        <v>23</v>
      </c>
    </row>
    <row r="641" spans="1:14">
      <c r="A641" t="s">
        <v>1341</v>
      </c>
      <c r="B641" t="s">
        <v>1342</v>
      </c>
      <c r="C641" t="s">
        <v>31</v>
      </c>
      <c r="D641" t="s">
        <v>49</v>
      </c>
      <c r="E641" t="s">
        <v>33</v>
      </c>
      <c r="F641" t="s">
        <v>148</v>
      </c>
      <c r="G641" t="s">
        <v>20</v>
      </c>
      <c r="H641" t="s">
        <v>21</v>
      </c>
      <c r="I641" s="8">
        <v>44297</v>
      </c>
      <c r="J641" s="8"/>
      <c r="K641" t="s">
        <v>22</v>
      </c>
      <c r="L641" s="9">
        <v>38900</v>
      </c>
      <c r="M641" s="10">
        <v>5</v>
      </c>
      <c r="N641" t="s">
        <v>23</v>
      </c>
    </row>
    <row r="642" spans="1:14">
      <c r="A642" t="s">
        <v>1343</v>
      </c>
      <c r="B642" t="s">
        <v>1344</v>
      </c>
      <c r="C642" t="s">
        <v>16</v>
      </c>
      <c r="D642" t="s">
        <v>32</v>
      </c>
      <c r="E642" t="s">
        <v>70</v>
      </c>
      <c r="F642" t="s">
        <v>102</v>
      </c>
      <c r="G642" t="s">
        <v>35</v>
      </c>
      <c r="H642" t="s">
        <v>21</v>
      </c>
      <c r="I642" s="8">
        <v>45751</v>
      </c>
      <c r="J642" s="8"/>
      <c r="K642" t="s">
        <v>22</v>
      </c>
      <c r="L642" s="9">
        <v>49000</v>
      </c>
      <c r="M642" s="10">
        <v>4</v>
      </c>
      <c r="N642" t="s">
        <v>58</v>
      </c>
    </row>
    <row r="643" spans="1:14">
      <c r="A643" t="s">
        <v>1345</v>
      </c>
      <c r="B643" t="s">
        <v>1346</v>
      </c>
      <c r="C643" t="s">
        <v>31</v>
      </c>
      <c r="D643" t="s">
        <v>49</v>
      </c>
      <c r="E643" t="s">
        <v>18</v>
      </c>
      <c r="F643" t="s">
        <v>89</v>
      </c>
      <c r="G643" t="s">
        <v>20</v>
      </c>
      <c r="H643" t="s">
        <v>21</v>
      </c>
      <c r="I643" s="8">
        <v>45974</v>
      </c>
      <c r="J643" s="8"/>
      <c r="K643" t="s">
        <v>22</v>
      </c>
      <c r="L643" s="9">
        <v>69200</v>
      </c>
      <c r="M643" s="10">
        <v>3</v>
      </c>
      <c r="N643" t="s">
        <v>58</v>
      </c>
    </row>
    <row r="644" spans="1:14">
      <c r="A644" t="s">
        <v>1347</v>
      </c>
      <c r="B644" t="s">
        <v>1348</v>
      </c>
      <c r="C644" t="s">
        <v>16</v>
      </c>
      <c r="D644" t="s">
        <v>32</v>
      </c>
      <c r="E644" t="s">
        <v>18</v>
      </c>
      <c r="F644" t="s">
        <v>19</v>
      </c>
      <c r="G644" t="s">
        <v>57</v>
      </c>
      <c r="H644" t="s">
        <v>21</v>
      </c>
      <c r="I644" s="8">
        <v>43872</v>
      </c>
      <c r="J644" s="8"/>
      <c r="K644" t="s">
        <v>22</v>
      </c>
      <c r="L644" s="9">
        <v>63500</v>
      </c>
      <c r="M644" s="10">
        <v>3</v>
      </c>
      <c r="N644" t="s">
        <v>58</v>
      </c>
    </row>
    <row r="645" spans="1:14">
      <c r="A645" t="s">
        <v>1349</v>
      </c>
      <c r="B645" t="s">
        <v>1350</v>
      </c>
      <c r="C645" t="s">
        <v>31</v>
      </c>
      <c r="D645" t="s">
        <v>17</v>
      </c>
      <c r="E645" t="s">
        <v>44</v>
      </c>
      <c r="F645" t="s">
        <v>133</v>
      </c>
      <c r="G645" t="s">
        <v>57</v>
      </c>
      <c r="H645" t="s">
        <v>21</v>
      </c>
      <c r="I645" s="8">
        <v>44076</v>
      </c>
      <c r="J645" s="8">
        <v>44370</v>
      </c>
      <c r="K645" t="s">
        <v>36</v>
      </c>
      <c r="L645" s="9">
        <v>30400</v>
      </c>
      <c r="M645" s="10">
        <v>4</v>
      </c>
      <c r="N645" t="s">
        <v>23</v>
      </c>
    </row>
    <row r="646" spans="1:14">
      <c r="A646" t="s">
        <v>1351</v>
      </c>
      <c r="B646" t="s">
        <v>1352</v>
      </c>
      <c r="C646" t="s">
        <v>16</v>
      </c>
      <c r="D646" t="s">
        <v>32</v>
      </c>
      <c r="E646" t="s">
        <v>33</v>
      </c>
      <c r="F646" t="s">
        <v>148</v>
      </c>
      <c r="G646" t="s">
        <v>20</v>
      </c>
      <c r="H646" t="s">
        <v>21</v>
      </c>
      <c r="I646" s="8">
        <v>45962</v>
      </c>
      <c r="J646" s="8"/>
      <c r="K646" t="s">
        <v>22</v>
      </c>
      <c r="L646" s="9">
        <v>53400</v>
      </c>
      <c r="M646" s="10">
        <v>3</v>
      </c>
      <c r="N646" t="s">
        <v>58</v>
      </c>
    </row>
    <row r="647" spans="1:14">
      <c r="A647" t="s">
        <v>1353</v>
      </c>
      <c r="B647" t="s">
        <v>1354</v>
      </c>
      <c r="C647" t="s">
        <v>16</v>
      </c>
      <c r="D647" t="s">
        <v>88</v>
      </c>
      <c r="E647" t="s">
        <v>70</v>
      </c>
      <c r="F647" t="s">
        <v>105</v>
      </c>
      <c r="G647" t="s">
        <v>40</v>
      </c>
      <c r="H647" t="s">
        <v>21</v>
      </c>
      <c r="I647" s="8">
        <v>44351</v>
      </c>
      <c r="J647" s="8"/>
      <c r="K647" t="s">
        <v>22</v>
      </c>
      <c r="L647" s="9">
        <v>34400</v>
      </c>
      <c r="M647" s="10">
        <v>5</v>
      </c>
      <c r="N647" t="s">
        <v>23</v>
      </c>
    </row>
    <row r="648" spans="1:14">
      <c r="A648" t="s">
        <v>1355</v>
      </c>
      <c r="B648" t="s">
        <v>1356</v>
      </c>
      <c r="C648" t="s">
        <v>31</v>
      </c>
      <c r="D648" t="s">
        <v>43</v>
      </c>
      <c r="E648" t="s">
        <v>64</v>
      </c>
      <c r="F648" t="s">
        <v>65</v>
      </c>
      <c r="G648" t="s">
        <v>35</v>
      </c>
      <c r="H648" t="s">
        <v>21</v>
      </c>
      <c r="I648" s="8">
        <v>44426</v>
      </c>
      <c r="J648" s="8"/>
      <c r="K648" t="s">
        <v>22</v>
      </c>
      <c r="L648" s="9">
        <v>38800</v>
      </c>
      <c r="M648" s="10">
        <v>4</v>
      </c>
      <c r="N648" t="s">
        <v>23</v>
      </c>
    </row>
    <row r="649" spans="1:14">
      <c r="A649" t="s">
        <v>1357</v>
      </c>
      <c r="B649" t="s">
        <v>1358</v>
      </c>
      <c r="C649" t="s">
        <v>31</v>
      </c>
      <c r="D649" t="s">
        <v>74</v>
      </c>
      <c r="E649" t="s">
        <v>44</v>
      </c>
      <c r="F649" t="s">
        <v>56</v>
      </c>
      <c r="G649" t="s">
        <v>35</v>
      </c>
      <c r="H649" t="s">
        <v>21</v>
      </c>
      <c r="I649" s="8">
        <v>43788</v>
      </c>
      <c r="J649" s="8"/>
      <c r="K649" t="s">
        <v>22</v>
      </c>
      <c r="L649" s="9">
        <v>31300</v>
      </c>
      <c r="M649" s="10">
        <v>4</v>
      </c>
      <c r="N649" t="s">
        <v>23</v>
      </c>
    </row>
    <row r="650" spans="1:14">
      <c r="A650" t="s">
        <v>1359</v>
      </c>
      <c r="B650" t="s">
        <v>1360</v>
      </c>
      <c r="C650" t="s">
        <v>31</v>
      </c>
      <c r="D650" t="s">
        <v>74</v>
      </c>
      <c r="E650" t="s">
        <v>44</v>
      </c>
      <c r="F650" t="s">
        <v>56</v>
      </c>
      <c r="G650" t="s">
        <v>35</v>
      </c>
      <c r="H650" t="s">
        <v>21</v>
      </c>
      <c r="I650" s="8">
        <v>43759</v>
      </c>
      <c r="J650" s="8">
        <v>45134</v>
      </c>
      <c r="K650" t="s">
        <v>36</v>
      </c>
      <c r="L650" s="9">
        <v>25400</v>
      </c>
      <c r="M650" s="10">
        <v>3</v>
      </c>
      <c r="N650" t="s">
        <v>23</v>
      </c>
    </row>
    <row r="651" spans="1:14">
      <c r="A651" t="s">
        <v>1361</v>
      </c>
      <c r="B651" t="s">
        <v>1362</v>
      </c>
      <c r="C651" t="s">
        <v>16</v>
      </c>
      <c r="D651" t="s">
        <v>43</v>
      </c>
      <c r="E651" t="s">
        <v>18</v>
      </c>
      <c r="F651" t="s">
        <v>39</v>
      </c>
      <c r="G651" t="s">
        <v>35</v>
      </c>
      <c r="H651" t="s">
        <v>21</v>
      </c>
      <c r="I651" s="8">
        <v>45028</v>
      </c>
      <c r="J651" s="8">
        <v>45792</v>
      </c>
      <c r="K651" t="s">
        <v>36</v>
      </c>
      <c r="L651" s="9">
        <v>50100</v>
      </c>
      <c r="M651" s="10">
        <v>3</v>
      </c>
      <c r="N651" t="s">
        <v>23</v>
      </c>
    </row>
  </sheetData>
  <autoFilter xmlns:etc="http://www.wps.cn/officeDocument/2017/etCustomData" ref="A1:N651" etc:filterBottomFollowUsedRange="0"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1"/>
  <sheetViews>
    <sheetView zoomScale="96" zoomScaleNormal="96" workbookViewId="0">
      <selection activeCell="G20" sqref="G20"/>
    </sheetView>
  </sheetViews>
  <sheetFormatPr defaultColWidth="8.72727272727273" defaultRowHeight="14.5"/>
  <cols>
    <col min="1" max="1" width="11.6363636363636"/>
    <col min="2" max="2" width="21.6363636363636"/>
    <col min="4" max="4" width="17.6363636363636"/>
    <col min="5" max="5" width="31.7272727272727"/>
    <col min="7" max="7" width="21.5454545454545"/>
    <col min="8" max="8" width="15.6363636363636"/>
  </cols>
  <sheetData>
    <row r="3" spans="1:9">
      <c r="A3" t="s">
        <v>10</v>
      </c>
      <c r="B3" t="s">
        <v>1363</v>
      </c>
      <c r="D3" t="s">
        <v>4</v>
      </c>
      <c r="E3" t="s">
        <v>1364</v>
      </c>
    </row>
    <row r="4" spans="1:9">
      <c r="A4" t="s">
        <v>22</v>
      </c>
      <c r="B4">
        <v>519</v>
      </c>
      <c r="D4" t="s">
        <v>44</v>
      </c>
      <c r="E4" s="1">
        <v>32584.6153846154</v>
      </c>
    </row>
    <row r="5" spans="1:9">
      <c r="A5" t="s">
        <v>36</v>
      </c>
      <c r="B5">
        <v>131</v>
      </c>
      <c r="D5" t="s">
        <v>27</v>
      </c>
      <c r="E5" s="1">
        <v>43675</v>
      </c>
    </row>
    <row r="6" spans="1:9">
      <c r="A6" t="s">
        <v>1365</v>
      </c>
      <c r="B6">
        <v>650</v>
      </c>
      <c r="D6" t="s">
        <v>52</v>
      </c>
      <c r="E6" s="1">
        <v>37797.619047619</v>
      </c>
    </row>
    <row r="7" spans="1:9">
      <c r="D7" t="s">
        <v>18</v>
      </c>
      <c r="E7" s="1">
        <v>58417.4757281553</v>
      </c>
    </row>
    <row r="8" spans="1:9">
      <c r="A8" t="s">
        <v>4</v>
      </c>
      <c r="B8" t="s">
        <v>1366</v>
      </c>
      <c r="D8" t="s">
        <v>33</v>
      </c>
      <c r="E8" s="1">
        <v>41355.3846153846</v>
      </c>
      <c r="G8" s="2"/>
    </row>
    <row r="9" spans="1:9">
      <c r="A9" t="s">
        <v>44</v>
      </c>
      <c r="B9">
        <v>104</v>
      </c>
      <c r="D9" t="s">
        <v>70</v>
      </c>
      <c r="E9" s="1">
        <v>34186.9565217391</v>
      </c>
    </row>
    <row r="10" spans="1:9">
      <c r="A10" t="s">
        <v>27</v>
      </c>
      <c r="B10">
        <v>76</v>
      </c>
      <c r="D10" t="s">
        <v>64</v>
      </c>
      <c r="E10" s="1">
        <v>37210.6557377049</v>
      </c>
      <c r="G10" s="2">
        <f>IFERROR(H16/H17,0)</f>
        <v>0.201538461538462</v>
      </c>
      <c r="I10">
        <f>GETPIVOTDATA("Employee_ID",$A$3)</f>
        <v>650</v>
      </c>
    </row>
    <row r="11" spans="1:9">
      <c r="A11" t="s">
        <v>52</v>
      </c>
      <c r="B11">
        <v>42</v>
      </c>
      <c r="D11" t="s">
        <v>1365</v>
      </c>
      <c r="E11" s="1">
        <v>40397.2307692308</v>
      </c>
    </row>
    <row r="12" spans="1:9">
      <c r="A12" t="s">
        <v>18</v>
      </c>
      <c r="B12">
        <v>103</v>
      </c>
    </row>
    <row r="13" spans="1:9">
      <c r="A13" t="s">
        <v>33</v>
      </c>
      <c r="B13">
        <v>65</v>
      </c>
      <c r="D13" t="s">
        <v>4</v>
      </c>
      <c r="E13" t="s">
        <v>1367</v>
      </c>
    </row>
    <row r="14" spans="1:9">
      <c r="A14" t="s">
        <v>70</v>
      </c>
      <c r="B14">
        <v>138</v>
      </c>
      <c r="D14" t="s">
        <v>44</v>
      </c>
      <c r="E14" s="3">
        <v>3.52884615384615</v>
      </c>
      <c r="G14" t="s">
        <v>10</v>
      </c>
      <c r="H14" t="s">
        <v>1363</v>
      </c>
    </row>
    <row r="15" spans="1:9">
      <c r="A15" t="s">
        <v>64</v>
      </c>
      <c r="B15">
        <v>122</v>
      </c>
      <c r="D15" t="s">
        <v>27</v>
      </c>
      <c r="E15" s="3">
        <v>3.60526315789474</v>
      </c>
      <c r="G15" t="s">
        <v>22</v>
      </c>
      <c r="H15">
        <v>519</v>
      </c>
    </row>
    <row r="16" spans="1:9">
      <c r="A16" t="s">
        <v>1365</v>
      </c>
      <c r="B16">
        <v>650</v>
      </c>
      <c r="D16" t="s">
        <v>52</v>
      </c>
      <c r="E16" s="3">
        <v>3.42857142857143</v>
      </c>
      <c r="G16" t="s">
        <v>36</v>
      </c>
      <c r="H16">
        <v>131</v>
      </c>
    </row>
    <row r="17" spans="1:8">
      <c r="D17" t="s">
        <v>18</v>
      </c>
      <c r="E17" s="3">
        <v>3.56310679611651</v>
      </c>
      <c r="G17" t="s">
        <v>1365</v>
      </c>
      <c r="H17">
        <v>650</v>
      </c>
    </row>
    <row r="18" spans="1:8">
      <c r="A18" t="s">
        <v>13</v>
      </c>
      <c r="B18" t="s">
        <v>1366</v>
      </c>
      <c r="D18" t="s">
        <v>33</v>
      </c>
      <c r="E18" s="3">
        <v>3.38461538461538</v>
      </c>
    </row>
    <row r="19" spans="1:8">
      <c r="A19" t="s">
        <v>23</v>
      </c>
      <c r="B19">
        <v>485</v>
      </c>
      <c r="D19" t="s">
        <v>70</v>
      </c>
      <c r="E19" s="3">
        <v>3.58695652173913</v>
      </c>
    </row>
    <row r="20" spans="1:8">
      <c r="A20" t="s">
        <v>58</v>
      </c>
      <c r="B20">
        <v>165</v>
      </c>
      <c r="D20" t="s">
        <v>64</v>
      </c>
      <c r="E20" s="3">
        <v>3.63114754098361</v>
      </c>
    </row>
    <row r="21" spans="1:8">
      <c r="A21" t="s">
        <v>1365</v>
      </c>
      <c r="B21">
        <v>650</v>
      </c>
      <c r="D21" t="s">
        <v>1365</v>
      </c>
      <c r="E21" s="3">
        <v>3.55384615384615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7:H10"/>
  <sheetViews>
    <sheetView showGridLines="0" tabSelected="1" zoomScale="65" zoomScaleNormal="65" workbookViewId="0">
      <selection activeCell="AF49" sqref="AF49"/>
    </sheetView>
  </sheetViews>
  <sheetFormatPr defaultColWidth="8.72727272727273" defaultRowHeight="14.5" outlineLevelCol="7"/>
  <sheetData>
    <row r="7" ht="21" customHeight="1"/>
    <row r="10" spans="8:8">
      <c r="H10">
        <f>GETPIVOTDATA("Employee_ID",Analysis!$A$3)</f>
        <v>650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Employee_Data</vt:lpstr>
      <vt:lpstr>Analysis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</cp:lastModifiedBy>
  <dcterms:created xsi:type="dcterms:W3CDTF">2026-10-11T05:16:00Z</dcterms:created>
  <dcterms:modified xsi:type="dcterms:W3CDTF">2026-10-26T10:04:25Z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78AF5C96C7154BA8A07D859EFD8720D7_12</vt:lpwstr>
  </property>
</Properties>
</file>